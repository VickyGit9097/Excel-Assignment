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bikki\Downloads\"/>
    </mc:Choice>
  </mc:AlternateContent>
  <xr:revisionPtr revIDLastSave="0" documentId="13_ncr:1_{F176D246-909D-4015-8CCA-56F897E95AC3}" xr6:coauthVersionLast="47" xr6:coauthVersionMax="47" xr10:uidLastSave="{00000000-0000-0000-0000-000000000000}"/>
  <bookViews>
    <workbookView xWindow="-103" yWindow="-103" windowWidth="18159" windowHeight="10707" activeTab="1" xr2:uid="{00000000-000D-0000-FFFF-FFFF00000000}"/>
  </bookViews>
  <sheets>
    <sheet name="Exercise" sheetId="1" r:id="rId1"/>
    <sheet name="Practi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jrDsBgg0A9ngtlxg+27dXIpZbinQ=="/>
    </ext>
  </extLst>
</workbook>
</file>

<file path=xl/calcChain.xml><?xml version="1.0" encoding="utf-8"?>
<calcChain xmlns="http://schemas.openxmlformats.org/spreadsheetml/2006/main">
  <c r="P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4" i="2"/>
  <c r="M6" i="2"/>
  <c r="M7" i="2"/>
  <c r="M8" i="2"/>
  <c r="M9" i="2"/>
  <c r="M10" i="2"/>
  <c r="M11" i="2"/>
  <c r="M12" i="2"/>
  <c r="M13" i="2"/>
  <c r="M14" i="2"/>
  <c r="M15" i="2"/>
  <c r="M16" i="2"/>
  <c r="M5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4" i="2"/>
</calcChain>
</file>

<file path=xl/sharedStrings.xml><?xml version="1.0" encoding="utf-8"?>
<sst xmlns="http://schemas.openxmlformats.org/spreadsheetml/2006/main" count="1519" uniqueCount="892">
  <si>
    <t>Date Time Functions</t>
  </si>
  <si>
    <t>Row ID</t>
  </si>
  <si>
    <t>Order ID</t>
  </si>
  <si>
    <t>Order Date</t>
  </si>
  <si>
    <t>Ship Date</t>
  </si>
  <si>
    <t>Customer ID</t>
  </si>
  <si>
    <t>Product ID</t>
  </si>
  <si>
    <t>Sales</t>
  </si>
  <si>
    <t>Order Month</t>
  </si>
  <si>
    <t>Ship Time</t>
  </si>
  <si>
    <t xml:space="preserve">Order Count </t>
  </si>
  <si>
    <t>Average Processing time</t>
  </si>
  <si>
    <t>CA-2016-152156</t>
  </si>
  <si>
    <t>CG-12520</t>
  </si>
  <si>
    <t>FUR-BO-10001798</t>
  </si>
  <si>
    <t>Month</t>
  </si>
  <si>
    <t xml:space="preserve">Count </t>
  </si>
  <si>
    <t>In Days</t>
  </si>
  <si>
    <t>FUR-CH-10000454</t>
  </si>
  <si>
    <t>CA-2016-138688</t>
  </si>
  <si>
    <t>DV-13045</t>
  </si>
  <si>
    <t>OFF-LA-10000240</t>
  </si>
  <si>
    <t>US-2015-108966</t>
  </si>
  <si>
    <t>SO-20335</t>
  </si>
  <si>
    <t>FUR-TA-10000577</t>
  </si>
  <si>
    <t>OFF-ST-10000760</t>
  </si>
  <si>
    <t>CA-2014-115812</t>
  </si>
  <si>
    <t>BH-11710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</si>
  <si>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</si>
  <si>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</si>
  <si>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</si>
  <si>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</si>
  <si>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</si>
  <si>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</si>
  <si>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</si>
  <si>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CA-2017-114412</t>
  </si>
  <si>
    <t>AA-10480</t>
  </si>
  <si>
    <t>OFF-PA-10002365</t>
  </si>
  <si>
    <t>CA-2016-161389</t>
  </si>
  <si>
    <t>IM-15070</t>
  </si>
  <si>
    <t>OFF-BI-10003656</t>
  </si>
  <si>
    <t>US-2015-118983</t>
  </si>
  <si>
    <t>HP-14815</t>
  </si>
  <si>
    <t>OFF-AP-10002311</t>
  </si>
  <si>
    <t>OFF-BI-10000756</t>
  </si>
  <si>
    <t>CA-2014-105893</t>
  </si>
  <si>
    <t>PK-19075</t>
  </si>
  <si>
    <t>OFF-ST-10004186</t>
  </si>
  <si>
    <t>CA-2014-167164</t>
  </si>
  <si>
    <t>AG-10270</t>
  </si>
  <si>
    <t>OFF-ST-10000107</t>
  </si>
  <si>
    <t>CA-2014-143336</t>
  </si>
  <si>
    <t>ZD-21925</t>
  </si>
  <si>
    <t>OFF-AR-10003056</t>
  </si>
  <si>
    <t>TEC-PH-10001949</t>
  </si>
  <si>
    <t>OFF-BI-10002215</t>
  </si>
  <si>
    <t>CA-2016-137330</t>
  </si>
  <si>
    <t>KB-16585</t>
  </si>
  <si>
    <t>OFF-AR-10000246</t>
  </si>
  <si>
    <t>OFF-AP-10001492</t>
  </si>
  <si>
    <t>US-2017-156909</t>
  </si>
  <si>
    <t>SF-20065</t>
  </si>
  <si>
    <t>FUR-CH-10002774</t>
  </si>
  <si>
    <t>CA-2015-106320</t>
  </si>
  <si>
    <t>EB-13870</t>
  </si>
  <si>
    <t>CA-2016-121755</t>
  </si>
  <si>
    <t>EH-13945</t>
  </si>
  <si>
    <t>OFF-BI-10001634</t>
  </si>
  <si>
    <t>TEC-AC-10003027</t>
  </si>
  <si>
    <t>US-2015-150630</t>
  </si>
  <si>
    <t>TB-21520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</si>
  <si>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</si>
  <si>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</si>
  <si>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</si>
  <si>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</si>
  <si>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</si>
  <si>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</si>
  <si>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</si>
  <si>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CA-2017-107727</t>
  </si>
  <si>
    <t>MA-17560</t>
  </si>
  <si>
    <t>OFF-PA-10000249</t>
  </si>
  <si>
    <t>CA-2016-117590</t>
  </si>
  <si>
    <t>GH-14485</t>
  </si>
  <si>
    <t>TEC-PH-10004977</t>
  </si>
  <si>
    <t>FUR-FU-10003664</t>
  </si>
  <si>
    <t>CA-2015-117415</t>
  </si>
  <si>
    <t>SN-20710</t>
  </si>
  <si>
    <t>OFF-EN-10002986</t>
  </si>
  <si>
    <t>FUR-BO-10002545</t>
  </si>
  <si>
    <t>FUR-CH-10004218</t>
  </si>
  <si>
    <t>TEC-PH-10000486</t>
  </si>
  <si>
    <t>CA-2017-120999</t>
  </si>
  <si>
    <t>LC-16930</t>
  </si>
  <si>
    <t>TEC-PH-10004093</t>
  </si>
  <si>
    <t>CA-2016-101343</t>
  </si>
  <si>
    <t>RA-19885</t>
  </si>
  <si>
    <t>OFF-ST-10003479</t>
  </si>
  <si>
    <t>CA-2017-139619</t>
  </si>
  <si>
    <t>ES-14080</t>
  </si>
  <si>
    <t>OFF-ST-10003282</t>
  </si>
  <si>
    <t>CA-2016-118255</t>
  </si>
  <si>
    <t>ON-18715</t>
  </si>
  <si>
    <t>TEC-AC-10000171</t>
  </si>
  <si>
    <t>OFF-BI-10003291</t>
  </si>
  <si>
    <t>CA-2014-146703</t>
  </si>
  <si>
    <t>PO-18865</t>
  </si>
  <si>
    <t>OFF-ST-10001713</t>
  </si>
  <si>
    <t>CA-2016-169194</t>
  </si>
  <si>
    <t>LH-16900</t>
  </si>
  <si>
    <t>TEC-AC-10002167</t>
  </si>
  <si>
    <t>TEC-PH-10003988</t>
  </si>
  <si>
    <t>CA-2015-115742</t>
  </si>
  <si>
    <t>DP-13000</t>
  </si>
  <si>
    <t>OFF-BI-10004410</t>
  </si>
  <si>
    <t>OFF-LA-10002762</t>
  </si>
  <si>
    <t>FUR-FU-10001706</t>
  </si>
  <si>
    <t>FUR-CH-10003061</t>
  </si>
  <si>
    <t>CA-2016-105816</t>
  </si>
  <si>
    <t>JM-15265</t>
  </si>
  <si>
    <t>OFF-FA-10000304</t>
  </si>
  <si>
    <t>TEC-PH-10002447</t>
  </si>
  <si>
    <t>CA-2016-111682</t>
  </si>
  <si>
    <t>TB-21055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</si>
  <si>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</si>
  <si>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</si>
  <si>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</si>
  <si>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</si>
  <si>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</si>
  <si>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</si>
  <si>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CA-2015-135545</t>
  </si>
  <si>
    <t>KM-16720</t>
  </si>
  <si>
    <t>TEC-AC-10004633</t>
  </si>
  <si>
    <t>OFF-BI-10001078</t>
  </si>
  <si>
    <t>OFF-PA-10003892</t>
  </si>
  <si>
    <t>FUR-FU-10000397</t>
  </si>
  <si>
    <t>US-2015-164175</t>
  </si>
  <si>
    <t>PS-18970</t>
  </si>
  <si>
    <t>FUR-CH-10001146</t>
  </si>
  <si>
    <t>CA-2014-106376</t>
  </si>
  <si>
    <t>BS-11590</t>
  </si>
  <si>
    <t>OFF-AR-10002671</t>
  </si>
  <si>
    <t>TEC-PH-10002726</t>
  </si>
  <si>
    <t>CA-2016-119823</t>
  </si>
  <si>
    <t>KD-16270</t>
  </si>
  <si>
    <t>OFF-PA-10000482</t>
  </si>
  <si>
    <t>CA-2016-106075</t>
  </si>
  <si>
    <t>HM-14980</t>
  </si>
  <si>
    <t>OFF-BI-10004654</t>
  </si>
  <si>
    <t>CA-2017-114440</t>
  </si>
  <si>
    <t>OFF-PA-10004675</t>
  </si>
  <si>
    <t>US-2015-134026</t>
  </si>
  <si>
    <t>JE-15745</t>
  </si>
  <si>
    <t>FUR-CH-10000513</t>
  </si>
  <si>
    <t>FUR-FU-10003708</t>
  </si>
  <si>
    <t>OFF-ST-10004123</t>
  </si>
  <si>
    <t>US-2017-118038</t>
  </si>
  <si>
    <t>KB-16600</t>
  </si>
  <si>
    <t>OFF-BI-10004182</t>
  </si>
  <si>
    <t>FUR-FU-10000260</t>
  </si>
  <si>
    <t>OFF-ST-10000615</t>
  </si>
  <si>
    <t>US-2014-147606</t>
  </si>
  <si>
    <t>FUR-FU-10003194</t>
  </si>
  <si>
    <t>CA-2016-127208</t>
  </si>
  <si>
    <t>SC-20770</t>
  </si>
  <si>
    <t>OFF-AP-10002118</t>
  </si>
  <si>
    <t>OFF-BI-10002309</t>
  </si>
  <si>
    <t>CA-2014-139451</t>
  </si>
  <si>
    <t>DN-13690</t>
  </si>
  <si>
    <t>OFF-AR-10002053</t>
  </si>
  <si>
    <t>OFF-ST-10002370</t>
  </si>
  <si>
    <t>CA-2015-149734</t>
  </si>
  <si>
    <t>JC-16105</t>
  </si>
  <si>
    <t>OFF-EN-10000927</t>
  </si>
  <si>
    <t>US-2017-119662</t>
  </si>
  <si>
    <t>CS-12400</t>
  </si>
  <si>
    <t>OFF-ST-10003656</t>
  </si>
  <si>
    <t>CA-2017-140088</t>
  </si>
  <si>
    <t>FUR-CH-10000863</t>
  </si>
  <si>
    <t>CA-2017-155558</t>
  </si>
  <si>
    <t>PG-18895</t>
  </si>
  <si>
    <t>TEC-AC-10001998</t>
  </si>
  <si>
    <t>OFF-LA-10000134</t>
  </si>
  <si>
    <t>CA-2016-159695</t>
  </si>
  <si>
    <t>GM-14455</t>
  </si>
  <si>
    <t>OFF-ST-10003442</t>
  </si>
  <si>
    <t>CA-2016-109806</t>
  </si>
  <si>
    <t>JS-15685</t>
  </si>
  <si>
    <t>OFF-AR-10004930</t>
  </si>
  <si>
    <t>OFF-PA-10000304</t>
  </si>
  <si>
    <t>CA-2015-149587</t>
  </si>
  <si>
    <t>KB-16315</t>
  </si>
  <si>
    <t>OFF-PA-10003177</t>
  </si>
  <si>
    <t>FUR-FU-10003799</t>
  </si>
  <si>
    <t>OFF-BI-10002852</t>
  </si>
  <si>
    <t>US-2017-109484</t>
  </si>
  <si>
    <t>RB-19705</t>
  </si>
  <si>
    <t>OFF-BI-10004738</t>
  </si>
  <si>
    <t>CA-2017-161018</t>
  </si>
  <si>
    <t>PN-18775</t>
  </si>
  <si>
    <t>FUR-FU-10000629</t>
  </si>
  <si>
    <t>CA-2017-157833</t>
  </si>
  <si>
    <t>KD-16345</t>
  </si>
  <si>
    <t>OFF-BI-10001721</t>
  </si>
  <si>
    <t>CA-2016-149223</t>
  </si>
  <si>
    <t>ER-13855</t>
  </si>
  <si>
    <t>OFF-AP-10000358</t>
  </si>
  <si>
    <t>CA-2016-158568</t>
  </si>
  <si>
    <t>RB-19465</t>
  </si>
  <si>
    <t>OFF-PA-10003256</t>
  </si>
  <si>
    <t>TEC-AC-10001767</t>
  </si>
  <si>
    <t>OFF-BI-10002609</t>
  </si>
  <si>
    <t>CA-2016-129903</t>
  </si>
  <si>
    <t>GZ-14470</t>
  </si>
  <si>
    <t>OFF-PA-10004040</t>
  </si>
  <si>
    <t>US-2015-156867</t>
  </si>
  <si>
    <t>LC-16870</t>
  </si>
  <si>
    <t>TEC-AC-10001552</t>
  </si>
  <si>
    <t>FUR-FU-10004006</t>
  </si>
  <si>
    <t>OFF-BI-10002794</t>
  </si>
  <si>
    <t>CA-2017-119004</t>
  </si>
  <si>
    <t>JM-15250</t>
  </si>
  <si>
    <t>TEC-AC-10003499</t>
  </si>
  <si>
    <t>TEC-PH-10002844</t>
  </si>
  <si>
    <t>OFF-AR-10000390</t>
  </si>
  <si>
    <t>CA-2015-129476</t>
  </si>
  <si>
    <t>PA-19060</t>
  </si>
  <si>
    <t>TEC-AC-10000844</t>
  </si>
  <si>
    <t>CA-2017-146780</t>
  </si>
  <si>
    <t>CV-12805</t>
  </si>
  <si>
    <t>FUR-FU-10001934</t>
  </si>
  <si>
    <t>CA-2016-128867</t>
  </si>
  <si>
    <t>CL-12565</t>
  </si>
  <si>
    <t>OFF-AR-10000380</t>
  </si>
  <si>
    <t>OFF-BI-10003981</t>
  </si>
  <si>
    <t>CA-2014-115259</t>
  </si>
  <si>
    <t>RC-19960</t>
  </si>
  <si>
    <t>OFF-FA-10000621</t>
  </si>
  <si>
    <t>OFF-EN-10002600</t>
  </si>
  <si>
    <t>OFF-PA-10004965</t>
  </si>
  <si>
    <t>OFF-EN-10002504</t>
  </si>
  <si>
    <t>CA-2015-110457</t>
  </si>
  <si>
    <t>DK-13090</t>
  </si>
  <si>
    <t>FUR-TA-10001768</t>
  </si>
  <si>
    <t>US-2015-136476</t>
  </si>
  <si>
    <t>GG-14650</t>
  </si>
  <si>
    <t>OFF-BI-10003650</t>
  </si>
  <si>
    <t>CA-2016-103730</t>
  </si>
  <si>
    <t>SC-20725</t>
  </si>
  <si>
    <t>FUR-FU-10002157</t>
  </si>
  <si>
    <t>OFF-ST-10000777</t>
  </si>
  <si>
    <t>OFF-EN-10002500</t>
  </si>
  <si>
    <t>TEC-PH-10003875</t>
  </si>
  <si>
    <t>US-2014-152030</t>
  </si>
  <si>
    <t>AD-10180</t>
  </si>
  <si>
    <t>FUR-CH-10004063</t>
  </si>
  <si>
    <t>US-2014-134614</t>
  </si>
  <si>
    <t>PF-19165</t>
  </si>
  <si>
    <t>FUR-TA-10004534</t>
  </si>
  <si>
    <t>US-2017-107272</t>
  </si>
  <si>
    <t>TS-21610</t>
  </si>
  <si>
    <t>OFF-BI-10003274</t>
  </si>
  <si>
    <t>OFF-ST-10002974</t>
  </si>
  <si>
    <t>US-2016-125969</t>
  </si>
  <si>
    <t>LS-16975</t>
  </si>
  <si>
    <t>FUR-FU-10003773</t>
  </si>
  <si>
    <t>US-2017-164147</t>
  </si>
  <si>
    <t>DW-13585</t>
  </si>
  <si>
    <t>TEC-PH-10002293</t>
  </si>
  <si>
    <t>OFF-PA-10002377</t>
  </si>
  <si>
    <t>OFF-FA-10002780</t>
  </si>
  <si>
    <t>CA-2016-145583</t>
  </si>
  <si>
    <t>LC-16885</t>
  </si>
  <si>
    <t>OFF-PA-10001804</t>
  </si>
  <si>
    <t>OFF-PA-10001736</t>
  </si>
  <si>
    <t>OFF-AR-10001149</t>
  </si>
  <si>
    <t>OFF-FA-10002988</t>
  </si>
  <si>
    <t>OFF-BI-10004781</t>
  </si>
  <si>
    <t>OFF-SU-10001218</t>
  </si>
  <si>
    <t>CA-2016-110366</t>
  </si>
  <si>
    <t>JD-15895</t>
  </si>
  <si>
    <t>CA-2017-106180</t>
  </si>
  <si>
    <t>SH-19975</t>
  </si>
  <si>
    <t>OFF-AR-10000940</t>
  </si>
  <si>
    <t>OFF-EN-10004030</t>
  </si>
  <si>
    <t>OFF-PA-10004327</t>
  </si>
  <si>
    <t>CA-2017-155376</t>
  </si>
  <si>
    <t>SG-20080</t>
  </si>
  <si>
    <t>OFF-AP-10001058</t>
  </si>
  <si>
    <t>CA-2015-110744</t>
  </si>
  <si>
    <t>HA-14920</t>
  </si>
  <si>
    <t>CA-2014-110072</t>
  </si>
  <si>
    <t>MG-17680</t>
  </si>
  <si>
    <t>FUR-FU-10000521</t>
  </si>
  <si>
    <t>CA-2016-114489</t>
  </si>
  <si>
    <t>JE-16165</t>
  </si>
  <si>
    <t>TEC-PH-10000215</t>
  </si>
  <si>
    <t>TEC-PH-10001448</t>
  </si>
  <si>
    <t>OFF-BI-10002735</t>
  </si>
  <si>
    <t>CA-2016-158834</t>
  </si>
  <si>
    <t>TW-21025</t>
  </si>
  <si>
    <t>OFF-AP-10000326</t>
  </si>
  <si>
    <t>TEC-PH-10001254</t>
  </si>
  <si>
    <t>CA-2015-124919</t>
  </si>
  <si>
    <t>SP-20650</t>
  </si>
  <si>
    <t>OFF-PA-10001950</t>
  </si>
  <si>
    <t>OFF-PA-10002254</t>
  </si>
  <si>
    <t>OFF-ST-10001590</t>
  </si>
  <si>
    <t>CA-2015-118948</t>
  </si>
  <si>
    <t>NK-18490</t>
  </si>
  <si>
    <t>OFF-AR-10001547</t>
  </si>
  <si>
    <t>CA-2014-104269</t>
  </si>
  <si>
    <t>DB-13060</t>
  </si>
  <si>
    <t>CA-2016-114104</t>
  </si>
  <si>
    <t>NP-18670</t>
  </si>
  <si>
    <t>OFF-LA-10002475</t>
  </si>
  <si>
    <t>TEC-PH-10004536</t>
  </si>
  <si>
    <t>CA-2016-162733</t>
  </si>
  <si>
    <t>TT-21070</t>
  </si>
  <si>
    <t>OFF-PA-10002751</t>
  </si>
  <si>
    <t>CA-2015-119697</t>
  </si>
  <si>
    <t>EM-13960</t>
  </si>
  <si>
    <t>TEC-AC-10003657</t>
  </si>
  <si>
    <t>CA-2016-154508</t>
  </si>
  <si>
    <t>RD-19900</t>
  </si>
  <si>
    <t>OFF-EN-10001990</t>
  </si>
  <si>
    <t>CA-2016-113817</t>
  </si>
  <si>
    <t>MJ-17740</t>
  </si>
  <si>
    <t>OFF-BI-10004002</t>
  </si>
  <si>
    <t>CA-2014-139892</t>
  </si>
  <si>
    <t>BM-11140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</si>
  <si>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</si>
  <si>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</si>
  <si>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</si>
  <si>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</si>
  <si>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</si>
  <si>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</si>
  <si>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</si>
  <si>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CA-2014-118962</t>
  </si>
  <si>
    <t>CS-12130</t>
  </si>
  <si>
    <t>OFF-PA-10000659</t>
  </si>
  <si>
    <t>OFF-PA-10001144</t>
  </si>
  <si>
    <t>FUR-CH-10003817</t>
  </si>
  <si>
    <t>US-2014-100853</t>
  </si>
  <si>
    <t>JB-15400</t>
  </si>
  <si>
    <t>OFF-AP-10000891</t>
  </si>
  <si>
    <t>OFF-LA-10003148</t>
  </si>
  <si>
    <t>US-2017-152366</t>
  </si>
  <si>
    <t>SJ-20500</t>
  </si>
  <si>
    <t>OFF-AP-10002684</t>
  </si>
  <si>
    <t>US-2015-101511</t>
  </si>
  <si>
    <t>FUR-CH-10004698</t>
  </si>
  <si>
    <t>OFF-SU-10002189</t>
  </si>
  <si>
    <t>CA-2015-137225</t>
  </si>
  <si>
    <t>JK-15640</t>
  </si>
  <si>
    <t>OFF-AR-10001940</t>
  </si>
  <si>
    <t>CA-2014-166191</t>
  </si>
  <si>
    <t>DK-13150</t>
  </si>
  <si>
    <t>OFF-ST-10003455</t>
  </si>
  <si>
    <t>TEC-AC-10004659</t>
  </si>
  <si>
    <t>CA-2014-158274</t>
  </si>
  <si>
    <t>RM-19675</t>
  </si>
  <si>
    <t>TEC-PH-10003273</t>
  </si>
  <si>
    <t>TEC-PH-10004896</t>
  </si>
  <si>
    <t>TEC-AC-10002345</t>
  </si>
  <si>
    <t>CA-2016-105018</t>
  </si>
  <si>
    <t>SK-19990</t>
  </si>
  <si>
    <t>OFF-BI-10001890</t>
  </si>
  <si>
    <t>CA-2014-123260</t>
  </si>
  <si>
    <t>FM-14290</t>
  </si>
  <si>
    <t>TEC-AC-10002323</t>
  </si>
  <si>
    <t>CA-2016-157000</t>
  </si>
  <si>
    <t>AM-10360</t>
  </si>
  <si>
    <t>OFF-ST-10001328</t>
  </si>
  <si>
    <t>CA-2015-102281</t>
  </si>
  <si>
    <t>MP-17470</t>
  </si>
  <si>
    <t>FUR-BO-10002613</t>
  </si>
  <si>
    <t>TEC-PH-10001552</t>
  </si>
  <si>
    <t>OFF-PA-10000061</t>
  </si>
  <si>
    <t>OFF-AR-10003514</t>
  </si>
  <si>
    <t>CA-2015-131457</t>
  </si>
  <si>
    <t>MZ-17515</t>
  </si>
  <si>
    <t>CA-2014-140004</t>
  </si>
  <si>
    <t>CB-12025</t>
  </si>
  <si>
    <t>OFF-AR-10004685</t>
  </si>
  <si>
    <t>OFF-AR-10004027</t>
  </si>
  <si>
    <t>CA-2017-107720</t>
  </si>
  <si>
    <t>VM-21685</t>
  </si>
  <si>
    <t>OFF-ST-10001414</t>
  </si>
  <si>
    <t>US-2017-124303</t>
  </si>
  <si>
    <t>FH-14365</t>
  </si>
  <si>
    <t>OFF-BI-10000343</t>
  </si>
  <si>
    <t>OFF-PA-10002749</t>
  </si>
  <si>
    <t>CA-2017-105074</t>
  </si>
  <si>
    <t>MB-17305</t>
  </si>
  <si>
    <t>OFF-PA-10002666</t>
  </si>
  <si>
    <t>CA-2014-133690</t>
  </si>
  <si>
    <t>BS-11755</t>
  </si>
  <si>
    <t>FUR-TA-10004289</t>
  </si>
  <si>
    <t>OFF-AP-10003622</t>
  </si>
  <si>
    <t>US-2017-116701</t>
  </si>
  <si>
    <t>LC-17140</t>
  </si>
  <si>
    <t>OFF-AP-10003217</t>
  </si>
  <si>
    <t>CA-2017-126382</t>
  </si>
  <si>
    <t>HK-14890</t>
  </si>
  <si>
    <t>FUR-FU-10002960</t>
  </si>
  <si>
    <t>CA-2017-108329</t>
  </si>
  <si>
    <t>LE-16810</t>
  </si>
  <si>
    <t>TEC-PH-10001918</t>
  </si>
  <si>
    <t>CA-2017-135860</t>
  </si>
  <si>
    <t>JH-15985</t>
  </si>
  <si>
    <t>OFF-ST-10000642</t>
  </si>
  <si>
    <t>TEC-PH-10001700</t>
  </si>
  <si>
    <t>OFF-FA-10000134</t>
  </si>
  <si>
    <t>OFF-ST-10001522</t>
  </si>
  <si>
    <t>CA-2015-101007</t>
  </si>
  <si>
    <t>MS-17980</t>
  </si>
  <si>
    <t>TEC-AC-10001266</t>
  </si>
  <si>
    <t>CA-2015-146262</t>
  </si>
  <si>
    <t>VW-21775</t>
  </si>
  <si>
    <t>OFF-LA-10004544</t>
  </si>
  <si>
    <t>FUR-BO-10004695</t>
  </si>
  <si>
    <t>TEC-MA-10000864</t>
  </si>
  <si>
    <t>TEC-AC-10000109</t>
  </si>
  <si>
    <t>CA-2016-130162</t>
  </si>
  <si>
    <t>JH-15910</t>
  </si>
  <si>
    <t>TEC-PH-10002563</t>
  </si>
  <si>
    <t>CA-2015-169397</t>
  </si>
  <si>
    <t>JB-15925</t>
  </si>
  <si>
    <t>OFF-FA-10000585</t>
  </si>
  <si>
    <t>OFF-PA-10004000</t>
  </si>
  <si>
    <t>FUR-FU-10000087</t>
  </si>
  <si>
    <t>TEC-MA-10001148</t>
  </si>
  <si>
    <t>OFF-AR-10001958</t>
  </si>
  <si>
    <t>CA-2015-163055</t>
  </si>
  <si>
    <t>DS-13180</t>
  </si>
  <si>
    <t>OFF-AR-10001026</t>
  </si>
  <si>
    <t>FUR-TA-10003748</t>
  </si>
  <si>
    <t>OFF-ST-10002485</t>
  </si>
  <si>
    <t>US-2015-145436</t>
  </si>
  <si>
    <t>VD-21670</t>
  </si>
  <si>
    <t>FUR-CH-10004860</t>
  </si>
  <si>
    <t>FUR-CH-10004477</t>
  </si>
  <si>
    <t>US-2014-156216</t>
  </si>
  <si>
    <t>EA-14035</t>
  </si>
  <si>
    <t>OFF-BI-10001679</t>
  </si>
  <si>
    <t>US-2017-100930</t>
  </si>
  <si>
    <t>FUR-TA-10001705</t>
  </si>
  <si>
    <t>FUR-TA-10003473</t>
  </si>
  <si>
    <t>FUR-FU-10004017</t>
  </si>
  <si>
    <t>TEC-AC-10003832</t>
  </si>
  <si>
    <t>CA-2017-160514</t>
  </si>
  <si>
    <t>DB-13120</t>
  </si>
  <si>
    <t>OFF-PA-10002479</t>
  </si>
  <si>
    <t>CA-2016-157749</t>
  </si>
  <si>
    <t>KL-16645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</si>
  <si>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</si>
  <si>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</si>
  <si>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</si>
  <si>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</si>
  <si>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</si>
  <si>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</si>
  <si>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CA-2014-131926</t>
  </si>
  <si>
    <t>DW-13480</t>
  </si>
  <si>
    <t>OFF-ST-10002276</t>
  </si>
  <si>
    <t>OFF-PA-10004082</t>
  </si>
  <si>
    <t>OFF-AP-10002945</t>
  </si>
  <si>
    <t>CA-2016-154739</t>
  </si>
  <si>
    <t>LH-17155</t>
  </si>
  <si>
    <t>FUR-CH-10002965</t>
  </si>
  <si>
    <t>CA-2016-145625</t>
  </si>
  <si>
    <t>KC-16540</t>
  </si>
  <si>
    <t>OFF-PA-10004569</t>
  </si>
  <si>
    <t>CA-2016-146941</t>
  </si>
  <si>
    <t>DL-13315</t>
  </si>
  <si>
    <t>OFF-ST-10001228</t>
  </si>
  <si>
    <t>OFF-EN-10003296</t>
  </si>
  <si>
    <t>US-2015-159982</t>
  </si>
  <si>
    <t>DR-12880</t>
  </si>
  <si>
    <t>OFF-ST-10004804</t>
  </si>
  <si>
    <t>TEC-PH-10001580</t>
  </si>
  <si>
    <t>CA-2017-163139</t>
  </si>
  <si>
    <t>CC-12670</t>
  </si>
  <si>
    <t>TEC-AC-10000290</t>
  </si>
  <si>
    <t>OFF-ST-10002790</t>
  </si>
  <si>
    <t>OFF-BI-10003460</t>
  </si>
  <si>
    <t>US-2017-155299</t>
  </si>
  <si>
    <t>Dl-13600</t>
  </si>
  <si>
    <t>OFF-AP-10002203</t>
  </si>
  <si>
    <t>US-2014-106992</t>
  </si>
  <si>
    <t>SB-20290</t>
  </si>
  <si>
    <t>TEC-MA-10003353</t>
  </si>
  <si>
    <t>CA-2016-125318</t>
  </si>
  <si>
    <t>RC-19825</t>
  </si>
  <si>
    <t>TEC-PH-10001433</t>
  </si>
  <si>
    <t>CA-2015-155040</t>
  </si>
  <si>
    <t>AH-10210</t>
  </si>
  <si>
    <t>TEC-AC-10004469</t>
  </si>
  <si>
    <t>CA-2017-136826</t>
  </si>
  <si>
    <t>CB-12535</t>
  </si>
  <si>
    <t>OFF-AR-10003602</t>
  </si>
  <si>
    <t>CA-2016-111010</t>
  </si>
  <si>
    <t>OFF-FA-10003472</t>
  </si>
  <si>
    <t>US-2017-145366</t>
  </si>
  <si>
    <t>CA-12310</t>
  </si>
  <si>
    <t>OFF-ST-10004180</t>
  </si>
  <si>
    <t>OFF-EN-10004386</t>
  </si>
  <si>
    <t>CA-2017-163979</t>
  </si>
  <si>
    <t>KH-16690</t>
  </si>
  <si>
    <t>OFF-ST-10003208</t>
  </si>
  <si>
    <t>CA-2015-155334</t>
  </si>
  <si>
    <t>TEC-AC-10003628</t>
  </si>
  <si>
    <t>FUR-FU-10003274</t>
  </si>
  <si>
    <t>OFF-BI-10002557</t>
  </si>
  <si>
    <t>CA-2017-118136</t>
  </si>
  <si>
    <t>BB-10990</t>
  </si>
  <si>
    <t>OFF-PA-10002615</t>
  </si>
  <si>
    <t>OFF-AR-10001427</t>
  </si>
  <si>
    <t>CA-2017-132976</t>
  </si>
  <si>
    <t>AG-10495</t>
  </si>
  <si>
    <t>OFF-PA-10000673</t>
  </si>
  <si>
    <t>OFF-PA-10004470</t>
  </si>
  <si>
    <t>OFF-ST-10000876</t>
  </si>
  <si>
    <t>OFF-LA-10002043</t>
  </si>
  <si>
    <t>US-2015-161991</t>
  </si>
  <si>
    <t>OFF-BI-10004967</t>
  </si>
  <si>
    <t>TEC-PH-10001760</t>
  </si>
  <si>
    <t>CA-2015-130890</t>
  </si>
  <si>
    <t>JO-15280</t>
  </si>
  <si>
    <t>FUR-TA-10002903</t>
  </si>
  <si>
    <t>CA-2015-130883</t>
  </si>
  <si>
    <t>OFF-PA-10000474</t>
  </si>
  <si>
    <t>TEC-AC-10001956</t>
  </si>
  <si>
    <t>OFF-PA-10004100</t>
  </si>
  <si>
    <t>CA-2016-112697</t>
  </si>
  <si>
    <t>AH-10195</t>
  </si>
  <si>
    <t>OFF-BI-10000778</t>
  </si>
  <si>
    <t>OFF-SU-10000646</t>
  </si>
  <si>
    <t>CA-2016-110772</t>
  </si>
  <si>
    <t>NZ-18565</t>
  </si>
  <si>
    <t>OFF-FA-10002983</t>
  </si>
  <si>
    <t>OFF-LA-10004689</t>
  </si>
  <si>
    <t>TEC-AC-10002001</t>
  </si>
  <si>
    <t>FUR-BO-10004709</t>
  </si>
  <si>
    <t>CA-2014-111451</t>
  </si>
  <si>
    <t>KL-16555</t>
  </si>
  <si>
    <t>FUR-FU-10004091</t>
  </si>
  <si>
    <t>FUR-CH-10001891</t>
  </si>
  <si>
    <t>FUR-FU-10002918</t>
  </si>
  <si>
    <t>OFF-BI-10004593</t>
  </si>
  <si>
    <t>OFF-FA-10004854</t>
  </si>
  <si>
    <t>CA-2016-142545</t>
  </si>
  <si>
    <t>OFF-PA-10002105</t>
  </si>
  <si>
    <t>OFF-ST-10002756</t>
  </si>
  <si>
    <t>OFF-PA-10004243</t>
  </si>
  <si>
    <t>FUR-FU-10001861</t>
  </si>
  <si>
    <t>OFF-BI-10002706</t>
  </si>
  <si>
    <t>US-2017-152380</t>
  </si>
  <si>
    <t>FUR-TA-10002533</t>
  </si>
  <si>
    <t>CA-2015-144253</t>
  </si>
  <si>
    <t>AS-10225</t>
  </si>
  <si>
    <t>FUR-FU-10002671</t>
  </si>
  <si>
    <t>CA-2014-130960</t>
  </si>
  <si>
    <t>OFF-AR-10003651</t>
  </si>
  <si>
    <t>CA-2014-111003</t>
  </si>
  <si>
    <t>CR-12625</t>
  </si>
  <si>
    <t>OFF-BI-10001072</t>
  </si>
  <si>
    <t>OFF-AR-10002135</t>
  </si>
  <si>
    <t>CA-2017-126774</t>
  </si>
  <si>
    <t>SH-20395</t>
  </si>
  <si>
    <t>OFF-AR-10002804</t>
  </si>
  <si>
    <t>CA-2016-142902</t>
  </si>
  <si>
    <t>BP-11185</t>
  </si>
  <si>
    <t>FUR-FU-10001918</t>
  </si>
  <si>
    <t>FUR-CH-10004086</t>
  </si>
  <si>
    <t>FUR-FU-10001756</t>
  </si>
  <si>
    <t>OFF-LA-10000634</t>
  </si>
  <si>
    <t>CA-2014-120887</t>
  </si>
  <si>
    <t>TS-21205</t>
  </si>
  <si>
    <t>FUR-FU-10001588</t>
  </si>
  <si>
    <t>CA-2014-167850</t>
  </si>
  <si>
    <t>AG-10525</t>
  </si>
  <si>
    <t>TEC-PH-10002398</t>
  </si>
  <si>
    <t>OFF-PA-10001937</t>
  </si>
  <si>
    <t>CA-2014-164259</t>
  </si>
  <si>
    <t>SP-20860</t>
  </si>
  <si>
    <t>OFF-AR-10003373</t>
  </si>
  <si>
    <t>CA-2014-164973</t>
  </si>
  <si>
    <t>NM-18445</t>
  </si>
  <si>
    <t>FUR-CH-10002602</t>
  </si>
  <si>
    <t>TEC-MA-10002927</t>
  </si>
  <si>
    <t>TEC-AC-10000892</t>
  </si>
  <si>
    <t>CA-2014-156601</t>
  </si>
  <si>
    <t>FA-14230</t>
  </si>
  <si>
    <t>OFF-FA-10000624</t>
  </si>
  <si>
    <t>CA-2016-162138</t>
  </si>
  <si>
    <t>GK-14620</t>
  </si>
  <si>
    <t>TEC-AC-10001908</t>
  </si>
  <si>
    <t>CA-2017-153339</t>
  </si>
  <si>
    <t>DJ-13510</t>
  </si>
  <si>
    <t>FUR-FU-10001967</t>
  </si>
  <si>
    <t>US-2016-141544</t>
  </si>
  <si>
    <t>PO-18850</t>
  </si>
  <si>
    <t>TEC-PH-10003645</t>
  </si>
  <si>
    <t>OFF-ST-10000675</t>
  </si>
  <si>
    <t>FUR-CH-10003312</t>
  </si>
  <si>
    <t>OFF-LA-10001074</t>
  </si>
  <si>
    <t>OFF-BI-10001524</t>
  </si>
  <si>
    <t>US-2016-150147</t>
  </si>
  <si>
    <t>JL-15850</t>
  </si>
  <si>
    <t>TEC-PH-10004614</t>
  </si>
  <si>
    <t>OFF-BI-10001153</t>
  </si>
  <si>
    <t>OFF-BI-10001982</t>
  </si>
  <si>
    <t>CA-2015-137946</t>
  </si>
  <si>
    <t>DB-13615</t>
  </si>
  <si>
    <t>OFF-BI-10001922</t>
  </si>
  <si>
    <t>TEC-CO-10001449</t>
  </si>
  <si>
    <t>OFF-BI-10004140</t>
  </si>
  <si>
    <t>CA-2014-129924</t>
  </si>
  <si>
    <t>AC-10420</t>
  </si>
  <si>
    <t>OFF-BI-10003314</t>
  </si>
  <si>
    <t>FUR-TA-10004575</t>
  </si>
  <si>
    <t>CA-2015-128167</t>
  </si>
  <si>
    <t>OFF-FA-10000490</t>
  </si>
  <si>
    <t>CA-2014-122336</t>
  </si>
  <si>
    <t>OFF-AR-10000122</t>
  </si>
  <si>
    <t>TEC-PH-10000702</t>
  </si>
  <si>
    <t>US-2015-120712</t>
  </si>
  <si>
    <t>CA-2017-169901</t>
  </si>
  <si>
    <t>CC-12550</t>
  </si>
  <si>
    <t>CA-2017-134306</t>
  </si>
  <si>
    <t>TD-20995</t>
  </si>
  <si>
    <t>OFF-AR-10001374</t>
  </si>
  <si>
    <t>CA-2016-129714</t>
  </si>
  <si>
    <t>AB-10060</t>
  </si>
  <si>
    <t>OFF-PA-10001970</t>
  </si>
  <si>
    <t>OFF-BI-10002160</t>
  </si>
  <si>
    <t>OFF-BI-10004995</t>
  </si>
  <si>
    <t>CA-2016-138520</t>
  </si>
  <si>
    <t>JL-15505</t>
  </si>
  <si>
    <t>FUR-BO-10002268</t>
  </si>
  <si>
    <t>OFF-EN-10001137</t>
  </si>
  <si>
    <t>OFF-AR-10002399</t>
  </si>
  <si>
    <t>OFF-PA-10002713</t>
  </si>
  <si>
    <t>CA-2016-130001</t>
  </si>
  <si>
    <t>CA-2017-155698</t>
  </si>
  <si>
    <t>VB-21745</t>
  </si>
  <si>
    <t>OFF-AP-10001124</t>
  </si>
  <si>
    <t>OFF-LA-10001158</t>
  </si>
  <si>
    <t>CA-2017-144904</t>
  </si>
  <si>
    <t>KW-16435</t>
  </si>
  <si>
    <t>FUR-CH-10000785</t>
  </si>
  <si>
    <t>OFF-AR-10003732</t>
  </si>
  <si>
    <t>FUR-FU-10000023</t>
  </si>
  <si>
    <t>CA-2014-123344</t>
  </si>
  <si>
    <t>JD-16060</t>
  </si>
  <si>
    <t>CA-2016-155516</t>
  </si>
  <si>
    <t>MK-17905</t>
  </si>
  <si>
    <t>OFF-BI-10002412</t>
  </si>
  <si>
    <t>OFF-SU-10001225</t>
  </si>
  <si>
    <t>OFF-ST-10002406</t>
  </si>
  <si>
    <t>CA-2017-104745</t>
  </si>
  <si>
    <t>GT-14755</t>
  </si>
  <si>
    <t>OFF-PA-10002036</t>
  </si>
  <si>
    <t>OFF-ST-10002205</t>
  </si>
  <si>
    <t>US-2014-119137</t>
  </si>
  <si>
    <t>AG-10900</t>
  </si>
  <si>
    <t>TEC-AC-10003911</t>
  </si>
  <si>
    <t>OFF-AR-10000658</t>
  </si>
  <si>
    <t>TEC-AC-10002076</t>
  </si>
  <si>
    <t>US-2016-134656</t>
  </si>
  <si>
    <t>MM-18280</t>
  </si>
  <si>
    <t>OFF-PA-10003039</t>
  </si>
  <si>
    <t>US-2017-134481</t>
  </si>
  <si>
    <t>AR-10405</t>
  </si>
  <si>
    <t>FUR-TA-10004915</t>
  </si>
  <si>
    <t>CA-2015-130792</t>
  </si>
  <si>
    <t>RA-19915</t>
  </si>
  <si>
    <t>OFF-AP-10000696</t>
  </si>
  <si>
    <t>OFF-ST-10003327</t>
  </si>
  <si>
    <t>OFF-BI-10000309</t>
  </si>
  <si>
    <t>CA-2016-134775</t>
  </si>
  <si>
    <t>AS-10285</t>
  </si>
  <si>
    <t>OFF-PA-10004734</t>
  </si>
  <si>
    <t>OFF-BI-10002225</t>
  </si>
  <si>
    <t>CA-2015-125395</t>
  </si>
  <si>
    <t>LA-16780</t>
  </si>
  <si>
    <t>TEC-AC-10004708</t>
  </si>
  <si>
    <t>US-2015-168935</t>
  </si>
  <si>
    <t>DO-13435</t>
  </si>
  <si>
    <t>FUR-TA-10000617</t>
  </si>
  <si>
    <t>TEC-AC-10002335</t>
  </si>
  <si>
    <t>CA-2015-122756</t>
  </si>
  <si>
    <t>DK-13225</t>
  </si>
  <si>
    <t>TEC-MA-10001681</t>
  </si>
  <si>
    <t>FUR-FU-10001935</t>
  </si>
  <si>
    <t>CA-2014-115973</t>
  </si>
  <si>
    <t>NG-18430</t>
  </si>
  <si>
    <t>OFF-AR-10004757</t>
  </si>
  <si>
    <t>CA-2017-101798</t>
  </si>
  <si>
    <t>MV-18190</t>
  </si>
  <si>
    <t>OFF-BI-10000050</t>
  </si>
  <si>
    <t>US-2014-135972</t>
  </si>
  <si>
    <t>JG-15115</t>
  </si>
  <si>
    <t>TEC-PH-10003012</t>
  </si>
  <si>
    <t>TEC-CO-10002313</t>
  </si>
  <si>
    <t>US-2014-134971</t>
  </si>
  <si>
    <t>BP-11095</t>
  </si>
  <si>
    <t>OFF-BI-10003982</t>
  </si>
  <si>
    <t>CA-2017-102946</t>
  </si>
  <si>
    <t>VP-21730</t>
  </si>
  <si>
    <t>OFF-BI-10004492</t>
  </si>
  <si>
    <t>CA-2017-165603</t>
  </si>
  <si>
    <t>SS-20140</t>
  </si>
  <si>
    <t>OFF-ST-10000798</t>
  </si>
  <si>
    <t>OFF-PA-10002552</t>
  </si>
  <si>
    <t>CA-2015-122259</t>
  </si>
  <si>
    <t>OFF-SU-10002573</t>
  </si>
  <si>
    <t>CA-2016-108987</t>
  </si>
  <si>
    <t>AG-10675</t>
  </si>
  <si>
    <t>OFF-ST-10001580</t>
  </si>
  <si>
    <t>OFF-ST-10000934</t>
  </si>
  <si>
    <t>TEC-AC-10000158</t>
  </si>
  <si>
    <t>CA-2014-113166</t>
  </si>
  <si>
    <t>LF-17185</t>
  </si>
  <si>
    <t>OFF-PA-10001947</t>
  </si>
  <si>
    <t>CA-2014-155208</t>
  </si>
  <si>
    <t>OFF-AR-10003478</t>
  </si>
  <si>
    <t>CA-2017-117933</t>
  </si>
  <si>
    <t>RF-19840</t>
  </si>
  <si>
    <t>OFF-AP-10004249</t>
  </si>
  <si>
    <t>CA-2017-117457</t>
  </si>
  <si>
    <t>KH-16510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</si>
  <si>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</si>
  <si>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</si>
  <si>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</si>
  <si>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</si>
  <si>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</si>
  <si>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</si>
  <si>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</si>
  <si>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CA-2017-142636</t>
  </si>
  <si>
    <t>KC-16675</t>
  </si>
  <si>
    <t>OFF-PA-10000157</t>
  </si>
  <si>
    <t>CA-2017-122105</t>
  </si>
  <si>
    <t>CJ-12010</t>
  </si>
  <si>
    <t>OFF-AR-10004344</t>
  </si>
  <si>
    <t>CA-2016-148796</t>
  </si>
  <si>
    <t>PB-19150</t>
  </si>
  <si>
    <t>FUR-CH-10004886</t>
  </si>
  <si>
    <t>CA-2017-154816</t>
  </si>
  <si>
    <t>OFF-PA-10003845</t>
  </si>
  <si>
    <t>CA-2017-110478</t>
  </si>
  <si>
    <t>OFF-AR-10001573</t>
  </si>
  <si>
    <t>OFF-EN-10000483</t>
  </si>
  <si>
    <t>CA-2014-142048</t>
  </si>
  <si>
    <t>TEC-AC-10004114</t>
  </si>
  <si>
    <t>CA-2017-125388</t>
  </si>
  <si>
    <t>MP-17965</t>
  </si>
  <si>
    <t>FUR-FU-10004712</t>
  </si>
  <si>
    <t>OFF-ST-10000918</t>
  </si>
  <si>
    <t>CA-2017-155705</t>
  </si>
  <si>
    <t>NF-18385</t>
  </si>
  <si>
    <t>FUR-CH-10000015</t>
  </si>
  <si>
    <t>CA-2017-149160</t>
  </si>
  <si>
    <t>FUR-FU-10003347</t>
  </si>
  <si>
    <t>OFF-BI-10001543</t>
  </si>
  <si>
    <t>CA-2014-101476</t>
  </si>
  <si>
    <t>SD-20485</t>
  </si>
  <si>
    <t>TEC-MA-10000029</t>
  </si>
  <si>
    <t>CA-2017-152275</t>
  </si>
  <si>
    <t>KH-16630</t>
  </si>
  <si>
    <t>OFF-AR-10000369</t>
  </si>
  <si>
    <t>US-2016-123750</t>
  </si>
  <si>
    <t>RB-19795</t>
  </si>
  <si>
    <t>OFF-BI-10004584</t>
  </si>
  <si>
    <t>OFF-ST-10000617</t>
  </si>
  <si>
    <t>CA-2016-127369</t>
  </si>
  <si>
    <t>OFF-ST-10003306</t>
  </si>
  <si>
    <t>US-2014-150574</t>
  </si>
  <si>
    <t>MK-18160</t>
  </si>
  <si>
    <t>OFF-BI-10000773</t>
  </si>
  <si>
    <t>TEC-AC-10002600</t>
  </si>
  <si>
    <t>CA-2016-147375</t>
  </si>
  <si>
    <t>PO-19180</t>
  </si>
  <si>
    <t>TEC-MA-10002937</t>
  </si>
  <si>
    <t>CA-2017-130043</t>
  </si>
  <si>
    <t>BB-11545</t>
  </si>
  <si>
    <t>OFF-PA-10002230</t>
  </si>
  <si>
    <t>CA-2017-157252</t>
  </si>
  <si>
    <t>FUR-CH-10003396</t>
  </si>
  <si>
    <t>CA-2016-115756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</si>
  <si>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</si>
  <si>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</si>
  <si>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</si>
  <si>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</si>
  <si>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</si>
  <si>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</si>
  <si>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CA-2017-154214</t>
  </si>
  <si>
    <t>TB-21595</t>
  </si>
  <si>
    <t>FUR-FU-10000206</t>
  </si>
  <si>
    <t>CA-2016-166674</t>
  </si>
  <si>
    <t>RB-19360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</si>
  <si>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</si>
  <si>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</si>
  <si>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</si>
  <si>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</si>
  <si>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</si>
  <si>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</si>
  <si>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CA-2017-147277</t>
  </si>
  <si>
    <t>EB-13705</t>
  </si>
  <si>
    <t>OFF-ST-10000142</t>
  </si>
  <si>
    <t>CA-2016-100153</t>
  </si>
  <si>
    <t>TEC-AC-10001772</t>
  </si>
  <si>
    <t>US-2014-110674</t>
  </si>
  <si>
    <t>SC-20095</t>
  </si>
  <si>
    <t>FUR-CH-10000225</t>
  </si>
  <si>
    <t>US-2016-157945</t>
  </si>
  <si>
    <t>FUR-CH-10002331</t>
  </si>
  <si>
    <t>OFF-EN-10001415</t>
  </si>
  <si>
    <t>CA-2015-109638</t>
  </si>
  <si>
    <t>OFF-AP-10002472</t>
  </si>
  <si>
    <t>TEC-AC-10004571</t>
  </si>
  <si>
    <t>OFF-BI-10001098</t>
  </si>
  <si>
    <t>CA-2016-109869</t>
  </si>
  <si>
    <t>TN-21040</t>
  </si>
  <si>
    <t>FUR-TA-10001889</t>
  </si>
  <si>
    <t>OFF-BI-10000315</t>
  </si>
  <si>
    <t>OFF-SU-10003505</t>
  </si>
  <si>
    <t>OFF-AP-10002578</t>
  </si>
  <si>
    <t>US-2015-101399</t>
  </si>
  <si>
    <t>JS-15940</t>
  </si>
  <si>
    <t>CA-2017-154907</t>
  </si>
  <si>
    <t>FUR-BO-10002824</t>
  </si>
  <si>
    <t>US-2016-100419</t>
  </si>
  <si>
    <t>OFF-BI-10002194</t>
  </si>
  <si>
    <t>CA-2015-154144</t>
  </si>
  <si>
    <t>MH-17785</t>
  </si>
  <si>
    <t>OFF-PA-10004071</t>
  </si>
  <si>
    <t>CA-2014-144666</t>
  </si>
  <si>
    <t>JP-15520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</si>
  <si>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</si>
  <si>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</si>
  <si>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</si>
  <si>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</si>
  <si>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</si>
  <si>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</si>
  <si>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CA-2016-103891</t>
  </si>
  <si>
    <t>TEC-PH-10000149</t>
  </si>
  <si>
    <t>CA-2016-152632</t>
  </si>
  <si>
    <t>JE-15475</t>
  </si>
  <si>
    <t>CA-2016-100790</t>
  </si>
  <si>
    <t>JG-15805</t>
  </si>
  <si>
    <t>OFF-AR-10003045</t>
  </si>
  <si>
    <t>OFF-ST-10000689</t>
  </si>
  <si>
    <t>CA-2014-134677</t>
  </si>
  <si>
    <t>XP-21865</t>
  </si>
  <si>
    <t>TEC-AC-10001445</t>
  </si>
  <si>
    <t>CA-2014-127691</t>
  </si>
  <si>
    <t>EM-14065</t>
  </si>
  <si>
    <t>TEC-AC-10002567</t>
  </si>
  <si>
    <t>CA-2017-140963</t>
  </si>
  <si>
    <t>MT-18070</t>
  </si>
  <si>
    <t>OFF-LA-10003923</t>
  </si>
  <si>
    <t>FUR-BO-10001337</t>
  </si>
  <si>
    <t>TEC-PH-10001924</t>
  </si>
  <si>
    <t>CA-2014-154627</t>
  </si>
  <si>
    <t>SA-20830</t>
  </si>
  <si>
    <t>TEC-PH-10001363</t>
  </si>
  <si>
    <t>CA-2014-133753</t>
  </si>
  <si>
    <t>CW-11905</t>
  </si>
  <si>
    <t>TEC-PH-10000376</t>
  </si>
  <si>
    <t>TEC-AC-10000303</t>
  </si>
  <si>
    <t>CA-2014-113362</t>
  </si>
  <si>
    <t>AJ-10960</t>
  </si>
  <si>
    <t>OFF-ST-10001809</t>
  </si>
  <si>
    <t>OFF-EN-10003845</t>
  </si>
  <si>
    <t>CA-2016-169166</t>
  </si>
  <si>
    <t>SS-20590</t>
  </si>
  <si>
    <t>TEC-AC-10000991</t>
  </si>
  <si>
    <t>US-2016-120929</t>
  </si>
  <si>
    <t>RO-19780</t>
  </si>
  <si>
    <t>FUR-TA-10001857</t>
  </si>
  <si>
    <t>CA-2015-134782</t>
  </si>
  <si>
    <t>MD-17350</t>
  </si>
  <si>
    <t>OFF-EN-10001434</t>
  </si>
  <si>
    <t>CA-2016-126158</t>
  </si>
  <si>
    <t>OFF-BI-10002498</t>
  </si>
  <si>
    <t>FUR-FU-10004864</t>
  </si>
  <si>
    <t>You have a dataset containing information about 500 different orders from an E-commerce website in the 'Practice' tab. The column names are straightforward and easy to understand. Your task is to analyze the data and address the following questions:</t>
  </si>
  <si>
    <r>
      <t>1. Extract Order Month:</t>
    </r>
    <r>
      <rPr>
        <sz val="8"/>
        <color rgb="FF36394D"/>
        <rFont val="Arial"/>
        <family val="2"/>
      </rPr>
      <t> Create a new column titled </t>
    </r>
    <r>
      <rPr>
        <b/>
        <sz val="8"/>
        <color rgb="FF36394D"/>
        <rFont val="Arial"/>
        <family val="2"/>
      </rPr>
      <t>'Order Month'</t>
    </r>
    <r>
      <rPr>
        <sz val="8"/>
        <color rgb="FF36394D"/>
        <rFont val="Arial"/>
        <family val="2"/>
      </rPr>
      <t> to determine the month in which each order was placed based on the </t>
    </r>
    <r>
      <rPr>
        <b/>
        <sz val="8"/>
        <color rgb="FF36394D"/>
        <rFont val="Arial"/>
        <family val="2"/>
      </rPr>
      <t>'Order Date.'</t>
    </r>
  </si>
  <si>
    <r>
      <t>2. Count Monthly Orders:</t>
    </r>
    <r>
      <rPr>
        <sz val="8"/>
        <color rgb="FF36394D"/>
        <rFont val="Arial"/>
        <family val="2"/>
      </rPr>
      <t> Count the total number of orders for each month. Use this information to identify any seasonality or patterns present in your data.</t>
    </r>
  </si>
  <si>
    <r>
      <t>3. Calculate Shipping Time:</t>
    </r>
    <r>
      <rPr>
        <sz val="8"/>
        <color rgb="FF36394D"/>
        <rFont val="Arial"/>
        <family val="2"/>
      </rPr>
      <t> Create a new column named </t>
    </r>
    <r>
      <rPr>
        <b/>
        <sz val="8"/>
        <color rgb="FF36394D"/>
        <rFont val="Arial"/>
        <family val="2"/>
      </rPr>
      <t>'Ship Time'</t>
    </r>
    <r>
      <rPr>
        <sz val="8"/>
        <color rgb="FF36394D"/>
        <rFont val="Arial"/>
        <family val="2"/>
      </rPr>
      <t> to calculate the processing time in days for each order. This should be determined by subtracting the </t>
    </r>
    <r>
      <rPr>
        <b/>
        <sz val="8"/>
        <color rgb="FF36394D"/>
        <rFont val="Arial"/>
        <family val="2"/>
      </rPr>
      <t>'Shipping Date'</t>
    </r>
    <r>
      <rPr>
        <sz val="8"/>
        <color rgb="FF36394D"/>
        <rFont val="Arial"/>
        <family val="2"/>
      </rPr>
      <t> from the </t>
    </r>
    <r>
      <rPr>
        <b/>
        <sz val="8"/>
        <color rgb="FF36394D"/>
        <rFont val="Arial"/>
        <family val="2"/>
      </rPr>
      <t>'Order Date.'</t>
    </r>
  </si>
  <si>
    <r>
      <t>4. Average Processing Time:</t>
    </r>
    <r>
      <rPr>
        <sz val="8"/>
        <color rgb="FF36394D"/>
        <rFont val="Arial"/>
        <family val="2"/>
      </rPr>
      <t> Calculate the average processing time across all orders based on the data provided.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</si>
</sst>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sz val="14"/>
      <color theme="1"/>
      <name val="Calibri"/>
    </font>
    <font>
      <sz val="12"/>
      <color theme="1"/>
      <name val="Calibri"/>
    </font>
    <font>
      <b/>
      <sz val="11"/>
      <color theme="1"/>
      <name val="Calibri"/>
    </font>
    <font>
      <b/>
      <sz val="11"/>
      <color rgb="FFFF0000"/>
      <name val="Calibri"/>
    </font>
    <font>
      <sz val="11"/>
      <color rgb="FFFF0000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0"/>
      <color rgb="FF36394D"/>
      <name val="Arial"/>
      <family val="2"/>
    </font>
    <font>
      <b/>
      <sz val="10"/>
      <color rgb="FF36394D"/>
      <name val="Arial"/>
      <family val="2"/>
    </font>
    <font>
      <sz val="8"/>
      <color rgb="FF36394D"/>
      <name val="Arial"/>
      <family val="2"/>
    </font>
    <font>
      <b/>
      <sz val="8"/>
      <color rgb="FF36394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</fills>
  <borders count="16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4" fillId="0" borderId="3" xfId="0" applyFont="1" applyBorder="1"/>
    <xf numFmtId="0" fontId="7" fillId="0" borderId="6" xfId="0" applyFont="1" applyBorder="1"/>
    <xf numFmtId="0" fontId="7" fillId="0" borderId="7" xfId="0" applyFont="1" applyBorder="1"/>
    <xf numFmtId="14" fontId="7" fillId="0" borderId="7" xfId="0" applyNumberFormat="1" applyFont="1" applyBorder="1"/>
    <xf numFmtId="0" fontId="8" fillId="0" borderId="0" xfId="0" applyFont="1"/>
    <xf numFmtId="0" fontId="5" fillId="0" borderId="8" xfId="0" applyFont="1" applyBorder="1"/>
    <xf numFmtId="0" fontId="7" fillId="0" borderId="9" xfId="0" applyFont="1" applyBorder="1"/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 indent="1"/>
    </xf>
    <xf numFmtId="0" fontId="12" fillId="0" borderId="0" xfId="0" applyFont="1" applyAlignment="1">
      <alignment horizontal="left" vertical="center" wrapText="1" indent="1"/>
    </xf>
    <xf numFmtId="0" fontId="5" fillId="0" borderId="12" xfId="0" applyFont="1" applyBorder="1"/>
    <xf numFmtId="0" fontId="5" fillId="0" borderId="13" xfId="0" applyFont="1" applyBorder="1"/>
    <xf numFmtId="0" fontId="7" fillId="0" borderId="13" xfId="0" applyFont="1" applyBorder="1"/>
    <xf numFmtId="0" fontId="5" fillId="0" borderId="14" xfId="0" applyFont="1" applyBorder="1"/>
    <xf numFmtId="0" fontId="7" fillId="0" borderId="15" xfId="0" applyFont="1" applyBorder="1"/>
    <xf numFmtId="0" fontId="5" fillId="0" borderId="10" xfId="0" applyFont="1" applyBorder="1" applyAlignment="1">
      <alignment horizontal="center"/>
    </xf>
    <xf numFmtId="0" fontId="6" fillId="0" borderId="11" xfId="0" applyFont="1" applyBorder="1"/>
    <xf numFmtId="0" fontId="5" fillId="0" borderId="4" xfId="0" applyFont="1" applyBorder="1" applyAlignment="1">
      <alignment horizontal="center"/>
    </xf>
    <xf numFmtId="0" fontId="6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992"/>
  <sheetViews>
    <sheetView showGridLines="0" workbookViewId="0">
      <selection activeCell="B9" sqref="B9"/>
    </sheetView>
  </sheetViews>
  <sheetFormatPr defaultColWidth="14.4140625" defaultRowHeight="15" customHeight="1"/>
  <cols>
    <col min="1" max="1" width="3.6640625" customWidth="1"/>
    <col min="2" max="2" width="95.33203125" customWidth="1"/>
    <col min="3" max="26" width="8.6640625" customWidth="1"/>
  </cols>
  <sheetData>
    <row r="1" spans="2:12" ht="14.3" customHeight="1"/>
    <row r="2" spans="2:12" ht="24.8" customHeight="1">
      <c r="B2" s="12" t="s">
        <v>0</v>
      </c>
      <c r="C2" s="1"/>
      <c r="D2" s="2"/>
      <c r="E2" s="2"/>
      <c r="F2" s="2"/>
      <c r="G2" s="2"/>
      <c r="H2" s="2"/>
      <c r="I2" s="2"/>
      <c r="J2" s="2"/>
      <c r="K2" s="2"/>
      <c r="L2" s="2"/>
    </row>
    <row r="3" spans="2:12" ht="14.3" customHeight="1"/>
    <row r="4" spans="2:12" ht="40.25" customHeight="1">
      <c r="B4" s="13" t="s">
        <v>887</v>
      </c>
    </row>
    <row r="5" spans="2:12" ht="14.3" customHeight="1">
      <c r="B5" s="14"/>
    </row>
    <row r="6" spans="2:12" ht="36.6" customHeight="1">
      <c r="B6" s="15" t="s">
        <v>888</v>
      </c>
    </row>
    <row r="7" spans="2:12" ht="36" customHeight="1">
      <c r="B7" s="15" t="s">
        <v>889</v>
      </c>
    </row>
    <row r="8" spans="2:12" ht="38.450000000000003" customHeight="1">
      <c r="B8" s="15" t="s">
        <v>890</v>
      </c>
    </row>
    <row r="9" spans="2:12" ht="14.3" customHeight="1">
      <c r="B9" s="15" t="s">
        <v>891</v>
      </c>
    </row>
    <row r="10" spans="2:12" ht="14.3" customHeight="1"/>
    <row r="11" spans="2:12" ht="14.3" customHeight="1"/>
    <row r="12" spans="2:12" ht="14.3" customHeight="1"/>
    <row r="13" spans="2:12" ht="14.3" customHeight="1"/>
    <row r="14" spans="2:12" ht="14.3" customHeight="1"/>
    <row r="15" spans="2:12" ht="14.3" customHeight="1"/>
    <row r="16" spans="2:12" ht="14.3" customHeight="1"/>
    <row r="17" ht="14.3" customHeight="1"/>
    <row r="18" ht="14.3" customHeight="1"/>
    <row r="19" ht="14.3" customHeight="1"/>
    <row r="20" ht="14.3" customHeight="1"/>
    <row r="21" ht="14.3" customHeight="1"/>
    <row r="22" ht="14.3" customHeight="1"/>
    <row r="23" ht="14.3" customHeight="1"/>
    <row r="24" ht="14.3" customHeight="1"/>
    <row r="25" ht="14.3" customHeight="1"/>
    <row r="26" ht="14.3" customHeight="1"/>
    <row r="27" ht="14.3" customHeight="1"/>
    <row r="28" ht="14.3" customHeight="1"/>
    <row r="29" ht="14.3" customHeight="1"/>
    <row r="30" ht="14.3" customHeight="1"/>
    <row r="31" ht="14.3" customHeight="1"/>
    <row r="32" ht="14.3" customHeight="1"/>
    <row r="33" ht="14.3" customHeight="1"/>
    <row r="34" ht="14.3" customHeight="1"/>
    <row r="35" ht="14.3" customHeight="1"/>
    <row r="36" ht="14.3" customHeight="1"/>
    <row r="37" ht="14.3" customHeight="1"/>
    <row r="38" ht="14.3" customHeight="1"/>
    <row r="39" ht="14.3" customHeight="1"/>
    <row r="40" ht="14.3" customHeight="1"/>
    <row r="41" ht="14.3" customHeight="1"/>
    <row r="42" ht="14.3" customHeight="1"/>
    <row r="43" ht="14.3" customHeight="1"/>
    <row r="44" ht="14.3" customHeight="1"/>
    <row r="45" ht="14.3" customHeight="1"/>
    <row r="46" ht="14.3" customHeight="1"/>
    <row r="47" ht="14.3" customHeight="1"/>
    <row r="48" ht="14.3" customHeight="1"/>
    <row r="49" ht="14.3" customHeight="1"/>
    <row r="50" ht="14.3" customHeight="1"/>
    <row r="51" ht="14.3" customHeight="1"/>
    <row r="52" ht="14.3" customHeight="1"/>
    <row r="53" ht="14.3" customHeight="1"/>
    <row r="54" ht="14.3" customHeight="1"/>
    <row r="55" ht="14.3" customHeight="1"/>
    <row r="56" ht="14.3" customHeight="1"/>
    <row r="57" ht="14.3" customHeight="1"/>
    <row r="58" ht="14.3" customHeight="1"/>
    <row r="59" ht="14.3" customHeight="1"/>
    <row r="60" ht="14.3" customHeight="1"/>
    <row r="61" ht="14.3" customHeight="1"/>
    <row r="62" ht="14.3" customHeight="1"/>
    <row r="63" ht="14.3" customHeight="1"/>
    <row r="64" ht="14.3" customHeight="1"/>
    <row r="65" ht="14.3" customHeight="1"/>
    <row r="66" ht="14.3" customHeight="1"/>
    <row r="67" ht="14.3" customHeight="1"/>
    <row r="68" ht="14.3" customHeight="1"/>
    <row r="69" ht="14.3" customHeight="1"/>
    <row r="70" ht="14.3" customHeight="1"/>
    <row r="71" ht="14.3" customHeight="1"/>
    <row r="72" ht="14.3" customHeight="1"/>
    <row r="73" ht="14.3" customHeight="1"/>
    <row r="74" ht="14.3" customHeight="1"/>
    <row r="75" ht="14.3" customHeight="1"/>
    <row r="76" ht="14.3" customHeight="1"/>
    <row r="77" ht="14.3" customHeight="1"/>
    <row r="78" ht="14.3" customHeight="1"/>
    <row r="79" ht="14.3" customHeight="1"/>
    <row r="80" ht="14.3" customHeight="1"/>
    <row r="81" ht="14.3" customHeight="1"/>
    <row r="82" ht="14.3" customHeight="1"/>
    <row r="83" ht="14.3" customHeight="1"/>
    <row r="84" ht="14.3" customHeight="1"/>
    <row r="85" ht="14.3" customHeight="1"/>
    <row r="86" ht="14.3" customHeight="1"/>
    <row r="87" ht="14.3" customHeight="1"/>
    <row r="88" ht="14.3" customHeight="1"/>
    <row r="89" ht="14.3" customHeight="1"/>
    <row r="90" ht="14.3" customHeight="1"/>
    <row r="91" ht="14.3" customHeight="1"/>
    <row r="92" ht="14.3" customHeight="1"/>
    <row r="93" ht="14.3" customHeight="1"/>
    <row r="94" ht="14.3" customHeight="1"/>
    <row r="95" ht="14.3" customHeight="1"/>
    <row r="96" ht="14.3" customHeight="1"/>
    <row r="97" ht="14.3" customHeight="1"/>
    <row r="98" ht="14.3" customHeight="1"/>
    <row r="99" ht="14.3" customHeight="1"/>
    <row r="100" ht="14.3" customHeight="1"/>
    <row r="101" ht="14.3" customHeight="1"/>
    <row r="102" ht="14.3" customHeight="1"/>
    <row r="103" ht="14.3" customHeight="1"/>
    <row r="104" ht="14.3" customHeight="1"/>
    <row r="105" ht="14.3" customHeight="1"/>
    <row r="106" ht="14.3" customHeight="1"/>
    <row r="107" ht="14.3" customHeight="1"/>
    <row r="108" ht="14.3" customHeight="1"/>
    <row r="109" ht="14.3" customHeight="1"/>
    <row r="110" ht="14.3" customHeight="1"/>
    <row r="111" ht="14.3" customHeight="1"/>
    <row r="112" ht="14.3" customHeight="1"/>
    <row r="113" ht="14.3" customHeight="1"/>
    <row r="114" ht="14.3" customHeight="1"/>
    <row r="115" ht="14.3" customHeight="1"/>
    <row r="116" ht="14.3" customHeight="1"/>
    <row r="117" ht="14.3" customHeight="1"/>
    <row r="118" ht="14.3" customHeight="1"/>
    <row r="119" ht="14.3" customHeight="1"/>
    <row r="120" ht="14.3" customHeight="1"/>
    <row r="121" ht="14.3" customHeight="1"/>
    <row r="122" ht="14.3" customHeight="1"/>
    <row r="123" ht="14.3" customHeight="1"/>
    <row r="124" ht="14.3" customHeight="1"/>
    <row r="125" ht="14.3" customHeight="1"/>
    <row r="126" ht="14.3" customHeight="1"/>
    <row r="127" ht="14.3" customHeight="1"/>
    <row r="128" ht="14.3" customHeight="1"/>
    <row r="129" ht="14.3" customHeight="1"/>
    <row r="130" ht="14.3" customHeight="1"/>
    <row r="131" ht="14.3" customHeight="1"/>
    <row r="132" ht="14.3" customHeight="1"/>
    <row r="133" ht="14.3" customHeight="1"/>
    <row r="134" ht="14.3" customHeight="1"/>
    <row r="135" ht="14.3" customHeight="1"/>
    <row r="136" ht="14.3" customHeight="1"/>
    <row r="137" ht="14.3" customHeight="1"/>
    <row r="138" ht="14.3" customHeight="1"/>
    <row r="139" ht="14.3" customHeight="1"/>
    <row r="140" ht="14.3" customHeight="1"/>
    <row r="141" ht="14.3" customHeight="1"/>
    <row r="142" ht="14.3" customHeight="1"/>
    <row r="143" ht="14.3" customHeight="1"/>
    <row r="144" ht="14.3" customHeight="1"/>
    <row r="145" ht="14.3" customHeight="1"/>
    <row r="146" ht="14.3" customHeight="1"/>
    <row r="147" ht="14.3" customHeight="1"/>
    <row r="148" ht="14.3" customHeight="1"/>
    <row r="149" ht="14.3" customHeight="1"/>
    <row r="150" ht="14.3" customHeight="1"/>
    <row r="151" ht="14.3" customHeight="1"/>
    <row r="152" ht="14.3" customHeight="1"/>
    <row r="153" ht="14.3" customHeight="1"/>
    <row r="154" ht="14.3" customHeight="1"/>
    <row r="155" ht="14.3" customHeight="1"/>
    <row r="156" ht="14.3" customHeight="1"/>
    <row r="157" ht="14.3" customHeight="1"/>
    <row r="158" ht="14.3" customHeight="1"/>
    <row r="159" ht="14.3" customHeight="1"/>
    <row r="160" ht="14.3" customHeight="1"/>
    <row r="161" ht="14.3" customHeight="1"/>
    <row r="162" ht="14.3" customHeight="1"/>
    <row r="163" ht="14.3" customHeight="1"/>
    <row r="164" ht="14.3" customHeight="1"/>
    <row r="165" ht="14.3" customHeight="1"/>
    <row r="166" ht="14.3" customHeight="1"/>
    <row r="167" ht="14.3" customHeight="1"/>
    <row r="168" ht="14.3" customHeight="1"/>
    <row r="169" ht="14.3" customHeight="1"/>
    <row r="170" ht="14.3" customHeight="1"/>
    <row r="171" ht="14.3" customHeight="1"/>
    <row r="172" ht="14.3" customHeight="1"/>
    <row r="173" ht="14.3" customHeight="1"/>
    <row r="174" ht="14.3" customHeight="1"/>
    <row r="175" ht="14.3" customHeight="1"/>
    <row r="176" ht="14.3" customHeight="1"/>
    <row r="177" ht="14.3" customHeight="1"/>
    <row r="178" ht="14.3" customHeight="1"/>
    <row r="179" ht="14.3" customHeight="1"/>
    <row r="180" ht="14.3" customHeight="1"/>
    <row r="181" ht="14.3" customHeight="1"/>
    <row r="182" ht="14.3" customHeight="1"/>
    <row r="183" ht="14.3" customHeight="1"/>
    <row r="184" ht="14.3" customHeight="1"/>
    <row r="185" ht="14.3" customHeight="1"/>
    <row r="186" ht="14.3" customHeight="1"/>
    <row r="187" ht="14.3" customHeight="1"/>
    <row r="188" ht="14.3" customHeight="1"/>
    <row r="189" ht="14.3" customHeight="1"/>
    <row r="190" ht="14.3" customHeight="1"/>
    <row r="191" ht="14.3" customHeight="1"/>
    <row r="192" ht="14.3" customHeight="1"/>
    <row r="193" ht="14.3" customHeight="1"/>
    <row r="194" ht="14.3" customHeight="1"/>
    <row r="195" ht="14.3" customHeight="1"/>
    <row r="196" ht="14.3" customHeight="1"/>
    <row r="197" ht="14.3" customHeight="1"/>
    <row r="198" ht="14.3" customHeight="1"/>
    <row r="199" ht="14.3" customHeight="1"/>
    <row r="200" ht="14.3" customHeight="1"/>
    <row r="201" ht="14.3" customHeight="1"/>
    <row r="202" ht="14.3" customHeight="1"/>
    <row r="203" ht="14.3" customHeight="1"/>
    <row r="204" ht="14.3" customHeight="1"/>
    <row r="205" ht="14.3" customHeight="1"/>
    <row r="206" ht="14.3" customHeight="1"/>
    <row r="207" ht="14.3" customHeight="1"/>
    <row r="208" ht="14.3" customHeight="1"/>
    <row r="209" ht="14.3" customHeight="1"/>
    <row r="210" ht="14.3" customHeight="1"/>
    <row r="211" ht="14.3" customHeight="1"/>
    <row r="212" ht="14.3" customHeight="1"/>
    <row r="213" ht="14.3" customHeight="1"/>
    <row r="214" ht="14.3" customHeight="1"/>
    <row r="215" ht="14.3" customHeight="1"/>
    <row r="216" ht="14.3" customHeight="1"/>
    <row r="217" ht="14.3" customHeight="1"/>
    <row r="218" ht="14.3" customHeight="1"/>
    <row r="219" ht="14.3" customHeight="1"/>
    <row r="220" ht="14.3" customHeight="1"/>
    <row r="221" ht="14.3" customHeight="1"/>
    <row r="222" ht="14.3" customHeight="1"/>
    <row r="223" ht="14.3" customHeight="1"/>
    <row r="224" ht="14.3" customHeight="1"/>
    <row r="225" ht="14.3" customHeight="1"/>
    <row r="226" ht="14.3" customHeight="1"/>
    <row r="227" ht="14.3" customHeight="1"/>
    <row r="228" ht="14.3" customHeight="1"/>
    <row r="229" ht="14.3" customHeight="1"/>
    <row r="230" ht="14.3" customHeight="1"/>
    <row r="231" ht="14.3" customHeight="1"/>
    <row r="232" ht="14.3" customHeight="1"/>
    <row r="233" ht="14.3" customHeight="1"/>
    <row r="234" ht="14.3" customHeight="1"/>
    <row r="235" ht="14.3" customHeight="1"/>
    <row r="236" ht="14.3" customHeight="1"/>
    <row r="237" ht="14.3" customHeight="1"/>
    <row r="238" ht="14.3" customHeight="1"/>
    <row r="239" ht="14.3" customHeight="1"/>
    <row r="240" ht="14.3" customHeight="1"/>
    <row r="241" ht="14.3" customHeight="1"/>
    <row r="242" ht="14.3" customHeight="1"/>
    <row r="243" ht="14.3" customHeight="1"/>
    <row r="244" ht="14.3" customHeight="1"/>
    <row r="245" ht="14.3" customHeight="1"/>
    <row r="246" ht="14.3" customHeight="1"/>
    <row r="247" ht="14.3" customHeight="1"/>
    <row r="248" ht="14.3" customHeight="1"/>
    <row r="249" ht="14.3" customHeight="1"/>
    <row r="250" ht="14.3" customHeight="1"/>
    <row r="251" ht="14.3" customHeight="1"/>
    <row r="252" ht="14.3" customHeight="1"/>
    <row r="253" ht="14.3" customHeight="1"/>
    <row r="254" ht="14.3" customHeight="1"/>
    <row r="255" ht="14.3" customHeight="1"/>
    <row r="256" ht="14.3" customHeight="1"/>
    <row r="257" ht="14.3" customHeight="1"/>
    <row r="258" ht="14.3" customHeight="1"/>
    <row r="259" ht="14.3" customHeight="1"/>
    <row r="260" ht="14.3" customHeight="1"/>
    <row r="261" ht="14.3" customHeight="1"/>
    <row r="262" ht="14.3" customHeight="1"/>
    <row r="263" ht="14.3" customHeight="1"/>
    <row r="264" ht="14.3" customHeight="1"/>
    <row r="265" ht="14.3" customHeight="1"/>
    <row r="266" ht="14.3" customHeight="1"/>
    <row r="267" ht="14.3" customHeight="1"/>
    <row r="268" ht="14.3" customHeight="1"/>
    <row r="269" ht="14.3" customHeight="1"/>
    <row r="270" ht="14.3" customHeight="1"/>
    <row r="271" ht="14.3" customHeight="1"/>
    <row r="272" ht="14.3" customHeight="1"/>
    <row r="273" ht="14.3" customHeight="1"/>
    <row r="274" ht="14.3" customHeight="1"/>
    <row r="275" ht="14.3" customHeight="1"/>
    <row r="276" ht="14.3" customHeight="1"/>
    <row r="277" ht="14.3" customHeight="1"/>
    <row r="278" ht="14.3" customHeight="1"/>
    <row r="279" ht="14.3" customHeight="1"/>
    <row r="280" ht="14.3" customHeight="1"/>
    <row r="281" ht="14.3" customHeight="1"/>
    <row r="282" ht="14.3" customHeight="1"/>
    <row r="283" ht="14.3" customHeight="1"/>
    <row r="284" ht="14.3" customHeight="1"/>
    <row r="285" ht="14.3" customHeight="1"/>
    <row r="286" ht="14.3" customHeight="1"/>
    <row r="287" ht="14.3" customHeight="1"/>
    <row r="288" ht="14.3" customHeight="1"/>
    <row r="289" ht="14.3" customHeight="1"/>
    <row r="290" ht="14.3" customHeight="1"/>
    <row r="291" ht="14.3" customHeight="1"/>
    <row r="292" ht="14.3" customHeight="1"/>
    <row r="293" ht="14.3" customHeight="1"/>
    <row r="294" ht="14.3" customHeight="1"/>
    <row r="295" ht="14.3" customHeight="1"/>
    <row r="296" ht="14.3" customHeight="1"/>
    <row r="297" ht="14.3" customHeight="1"/>
    <row r="298" ht="14.3" customHeight="1"/>
    <row r="299" ht="14.3" customHeight="1"/>
    <row r="300" ht="14.3" customHeight="1"/>
    <row r="301" ht="14.3" customHeight="1"/>
    <row r="302" ht="14.3" customHeight="1"/>
    <row r="303" ht="14.3" customHeight="1"/>
    <row r="304" ht="14.3" customHeight="1"/>
    <row r="305" ht="14.3" customHeight="1"/>
    <row r="306" ht="14.3" customHeight="1"/>
    <row r="307" ht="14.3" customHeight="1"/>
    <row r="308" ht="14.3" customHeight="1"/>
    <row r="309" ht="14.3" customHeight="1"/>
    <row r="310" ht="14.3" customHeight="1"/>
    <row r="311" ht="14.3" customHeight="1"/>
    <row r="312" ht="14.3" customHeight="1"/>
    <row r="313" ht="14.3" customHeight="1"/>
    <row r="314" ht="14.3" customHeight="1"/>
    <row r="315" ht="14.3" customHeight="1"/>
    <row r="316" ht="14.3" customHeight="1"/>
    <row r="317" ht="14.3" customHeight="1"/>
    <row r="318" ht="14.3" customHeight="1"/>
    <row r="319" ht="14.3" customHeight="1"/>
    <row r="320" ht="14.3" customHeight="1"/>
    <row r="321" ht="14.3" customHeight="1"/>
    <row r="322" ht="14.3" customHeight="1"/>
    <row r="323" ht="14.3" customHeight="1"/>
    <row r="324" ht="14.3" customHeight="1"/>
    <row r="325" ht="14.3" customHeight="1"/>
    <row r="326" ht="14.3" customHeight="1"/>
    <row r="327" ht="14.3" customHeight="1"/>
    <row r="328" ht="14.3" customHeight="1"/>
    <row r="329" ht="14.3" customHeight="1"/>
    <row r="330" ht="14.3" customHeight="1"/>
    <row r="331" ht="14.3" customHeight="1"/>
    <row r="332" ht="14.3" customHeight="1"/>
    <row r="333" ht="14.3" customHeight="1"/>
    <row r="334" ht="14.3" customHeight="1"/>
    <row r="335" ht="14.3" customHeight="1"/>
    <row r="336" ht="14.3" customHeight="1"/>
    <row r="337" ht="14.3" customHeight="1"/>
    <row r="338" ht="14.3" customHeight="1"/>
    <row r="339" ht="14.3" customHeight="1"/>
    <row r="340" ht="14.3" customHeight="1"/>
    <row r="341" ht="14.3" customHeight="1"/>
    <row r="342" ht="14.3" customHeight="1"/>
    <row r="343" ht="14.3" customHeight="1"/>
    <row r="344" ht="14.3" customHeight="1"/>
    <row r="345" ht="14.3" customHeight="1"/>
    <row r="346" ht="14.3" customHeight="1"/>
    <row r="347" ht="14.3" customHeight="1"/>
    <row r="348" ht="14.3" customHeight="1"/>
    <row r="349" ht="14.3" customHeight="1"/>
    <row r="350" ht="14.3" customHeight="1"/>
    <row r="351" ht="14.3" customHeight="1"/>
    <row r="352" ht="14.3" customHeight="1"/>
    <row r="353" ht="14.3" customHeight="1"/>
    <row r="354" ht="14.3" customHeight="1"/>
    <row r="355" ht="14.3" customHeight="1"/>
    <row r="356" ht="14.3" customHeight="1"/>
    <row r="357" ht="14.3" customHeight="1"/>
    <row r="358" ht="14.3" customHeight="1"/>
    <row r="359" ht="14.3" customHeight="1"/>
    <row r="360" ht="14.3" customHeight="1"/>
    <row r="361" ht="14.3" customHeight="1"/>
    <row r="362" ht="14.3" customHeight="1"/>
    <row r="363" ht="14.3" customHeight="1"/>
    <row r="364" ht="14.3" customHeight="1"/>
    <row r="365" ht="14.3" customHeight="1"/>
    <row r="366" ht="14.3" customHeight="1"/>
    <row r="367" ht="14.3" customHeight="1"/>
    <row r="368" ht="14.3" customHeight="1"/>
    <row r="369" ht="14.3" customHeight="1"/>
    <row r="370" ht="14.3" customHeight="1"/>
    <row r="371" ht="14.3" customHeight="1"/>
    <row r="372" ht="14.3" customHeight="1"/>
    <row r="373" ht="14.3" customHeight="1"/>
    <row r="374" ht="14.3" customHeight="1"/>
    <row r="375" ht="14.3" customHeight="1"/>
    <row r="376" ht="14.3" customHeight="1"/>
    <row r="377" ht="14.3" customHeight="1"/>
    <row r="378" ht="14.3" customHeight="1"/>
    <row r="379" ht="14.3" customHeight="1"/>
    <row r="380" ht="14.3" customHeight="1"/>
    <row r="381" ht="14.3" customHeight="1"/>
    <row r="382" ht="14.3" customHeight="1"/>
    <row r="383" ht="14.3" customHeight="1"/>
    <row r="384" ht="14.3" customHeight="1"/>
    <row r="385" ht="14.3" customHeight="1"/>
    <row r="386" ht="14.3" customHeight="1"/>
    <row r="387" ht="14.3" customHeight="1"/>
    <row r="388" ht="14.3" customHeight="1"/>
    <row r="389" ht="14.3" customHeight="1"/>
    <row r="390" ht="14.3" customHeight="1"/>
    <row r="391" ht="14.3" customHeight="1"/>
    <row r="392" ht="14.3" customHeight="1"/>
    <row r="393" ht="14.3" customHeight="1"/>
    <row r="394" ht="14.3" customHeight="1"/>
    <row r="395" ht="14.3" customHeight="1"/>
    <row r="396" ht="14.3" customHeight="1"/>
    <row r="397" ht="14.3" customHeight="1"/>
    <row r="398" ht="14.3" customHeight="1"/>
    <row r="399" ht="14.3" customHeight="1"/>
    <row r="400" ht="14.3" customHeight="1"/>
    <row r="401" ht="14.3" customHeight="1"/>
    <row r="402" ht="14.3" customHeight="1"/>
    <row r="403" ht="14.3" customHeight="1"/>
    <row r="404" ht="14.3" customHeight="1"/>
    <row r="405" ht="14.3" customHeight="1"/>
    <row r="406" ht="14.3" customHeight="1"/>
    <row r="407" ht="14.3" customHeight="1"/>
    <row r="408" ht="14.3" customHeight="1"/>
    <row r="409" ht="14.3" customHeight="1"/>
    <row r="410" ht="14.3" customHeight="1"/>
    <row r="411" ht="14.3" customHeight="1"/>
    <row r="412" ht="14.3" customHeight="1"/>
    <row r="413" ht="14.3" customHeight="1"/>
    <row r="414" ht="14.3" customHeight="1"/>
    <row r="415" ht="14.3" customHeight="1"/>
    <row r="416" ht="14.3" customHeight="1"/>
    <row r="417" ht="14.3" customHeight="1"/>
    <row r="418" ht="14.3" customHeight="1"/>
    <row r="419" ht="14.3" customHeight="1"/>
    <row r="420" ht="14.3" customHeight="1"/>
    <row r="421" ht="14.3" customHeight="1"/>
    <row r="422" ht="14.3" customHeight="1"/>
    <row r="423" ht="14.3" customHeight="1"/>
    <row r="424" ht="14.3" customHeight="1"/>
    <row r="425" ht="14.3" customHeight="1"/>
    <row r="426" ht="14.3" customHeight="1"/>
    <row r="427" ht="14.3" customHeight="1"/>
    <row r="428" ht="14.3" customHeight="1"/>
    <row r="429" ht="14.3" customHeight="1"/>
    <row r="430" ht="14.3" customHeight="1"/>
    <row r="431" ht="14.3" customHeight="1"/>
    <row r="432" ht="14.3" customHeight="1"/>
    <row r="433" ht="14.3" customHeight="1"/>
    <row r="434" ht="14.3" customHeight="1"/>
    <row r="435" ht="14.3" customHeight="1"/>
    <row r="436" ht="14.3" customHeight="1"/>
    <row r="437" ht="14.3" customHeight="1"/>
    <row r="438" ht="14.3" customHeight="1"/>
    <row r="439" ht="14.3" customHeight="1"/>
    <row r="440" ht="14.3" customHeight="1"/>
    <row r="441" ht="14.3" customHeight="1"/>
    <row r="442" ht="14.3" customHeight="1"/>
    <row r="443" ht="14.3" customHeight="1"/>
    <row r="444" ht="14.3" customHeight="1"/>
    <row r="445" ht="14.3" customHeight="1"/>
    <row r="446" ht="14.3" customHeight="1"/>
    <row r="447" ht="14.3" customHeight="1"/>
    <row r="448" ht="14.3" customHeight="1"/>
    <row r="449" ht="14.3" customHeight="1"/>
    <row r="450" ht="14.3" customHeight="1"/>
    <row r="451" ht="14.3" customHeight="1"/>
    <row r="452" ht="14.3" customHeight="1"/>
    <row r="453" ht="14.3" customHeight="1"/>
    <row r="454" ht="14.3" customHeight="1"/>
    <row r="455" ht="14.3" customHeight="1"/>
    <row r="456" ht="14.3" customHeight="1"/>
    <row r="457" ht="14.3" customHeight="1"/>
    <row r="458" ht="14.3" customHeight="1"/>
    <row r="459" ht="14.3" customHeight="1"/>
    <row r="460" ht="14.3" customHeight="1"/>
    <row r="461" ht="14.3" customHeight="1"/>
    <row r="462" ht="14.3" customHeight="1"/>
    <row r="463" ht="14.3" customHeight="1"/>
    <row r="464" ht="14.3" customHeight="1"/>
    <row r="465" ht="14.3" customHeight="1"/>
    <row r="466" ht="14.3" customHeight="1"/>
    <row r="467" ht="14.3" customHeight="1"/>
    <row r="468" ht="14.3" customHeight="1"/>
    <row r="469" ht="14.3" customHeight="1"/>
    <row r="470" ht="14.3" customHeight="1"/>
    <row r="471" ht="14.3" customHeight="1"/>
    <row r="472" ht="14.3" customHeight="1"/>
    <row r="473" ht="14.3" customHeight="1"/>
    <row r="474" ht="14.3" customHeight="1"/>
    <row r="475" ht="14.3" customHeight="1"/>
    <row r="476" ht="14.3" customHeight="1"/>
    <row r="477" ht="14.3" customHeight="1"/>
    <row r="478" ht="14.3" customHeight="1"/>
    <row r="479" ht="14.3" customHeight="1"/>
    <row r="480" ht="14.3" customHeight="1"/>
    <row r="481" ht="14.3" customHeight="1"/>
    <row r="482" ht="14.3" customHeight="1"/>
    <row r="483" ht="14.3" customHeight="1"/>
    <row r="484" ht="14.3" customHeight="1"/>
    <row r="485" ht="14.3" customHeight="1"/>
    <row r="486" ht="14.3" customHeight="1"/>
    <row r="487" ht="14.3" customHeight="1"/>
    <row r="488" ht="14.3" customHeight="1"/>
    <row r="489" ht="14.3" customHeight="1"/>
    <row r="490" ht="14.3" customHeight="1"/>
    <row r="491" ht="14.3" customHeight="1"/>
    <row r="492" ht="14.3" customHeight="1"/>
    <row r="493" ht="14.3" customHeight="1"/>
    <row r="494" ht="14.3" customHeight="1"/>
    <row r="495" ht="14.3" customHeight="1"/>
    <row r="496" ht="14.3" customHeight="1"/>
    <row r="497" ht="14.3" customHeight="1"/>
    <row r="498" ht="14.3" customHeight="1"/>
    <row r="499" ht="14.3" customHeight="1"/>
    <row r="500" ht="14.3" customHeight="1"/>
    <row r="501" ht="14.3" customHeight="1"/>
    <row r="502" ht="14.3" customHeight="1"/>
    <row r="503" ht="14.3" customHeight="1"/>
    <row r="504" ht="14.3" customHeight="1"/>
    <row r="505" ht="14.3" customHeight="1"/>
    <row r="506" ht="14.3" customHeight="1"/>
    <row r="507" ht="14.3" customHeight="1"/>
    <row r="508" ht="14.3" customHeight="1"/>
    <row r="509" ht="14.3" customHeight="1"/>
    <row r="510" ht="14.3" customHeight="1"/>
    <row r="511" ht="14.3" customHeight="1"/>
    <row r="512" ht="14.3" customHeight="1"/>
    <row r="513" ht="14.3" customHeight="1"/>
    <row r="514" ht="14.3" customHeight="1"/>
    <row r="515" ht="14.3" customHeight="1"/>
    <row r="516" ht="14.3" customHeight="1"/>
    <row r="517" ht="14.3" customHeight="1"/>
    <row r="518" ht="14.3" customHeight="1"/>
    <row r="519" ht="14.3" customHeight="1"/>
    <row r="520" ht="14.3" customHeight="1"/>
    <row r="521" ht="14.3" customHeight="1"/>
    <row r="522" ht="14.3" customHeight="1"/>
    <row r="523" ht="14.3" customHeight="1"/>
    <row r="524" ht="14.3" customHeight="1"/>
    <row r="525" ht="14.3" customHeight="1"/>
    <row r="526" ht="14.3" customHeight="1"/>
    <row r="527" ht="14.3" customHeight="1"/>
    <row r="528" ht="14.3" customHeight="1"/>
    <row r="529" ht="14.3" customHeight="1"/>
    <row r="530" ht="14.3" customHeight="1"/>
    <row r="531" ht="14.3" customHeight="1"/>
    <row r="532" ht="14.3" customHeight="1"/>
    <row r="533" ht="14.3" customHeight="1"/>
    <row r="534" ht="14.3" customHeight="1"/>
    <row r="535" ht="14.3" customHeight="1"/>
    <row r="536" ht="14.3" customHeight="1"/>
    <row r="537" ht="14.3" customHeight="1"/>
    <row r="538" ht="14.3" customHeight="1"/>
    <row r="539" ht="14.3" customHeight="1"/>
    <row r="540" ht="14.3" customHeight="1"/>
    <row r="541" ht="14.3" customHeight="1"/>
    <row r="542" ht="14.3" customHeight="1"/>
    <row r="543" ht="14.3" customHeight="1"/>
    <row r="544" ht="14.3" customHeight="1"/>
    <row r="545" ht="14.3" customHeight="1"/>
    <row r="546" ht="14.3" customHeight="1"/>
    <row r="547" ht="14.3" customHeight="1"/>
    <row r="548" ht="14.3" customHeight="1"/>
    <row r="549" ht="14.3" customHeight="1"/>
    <row r="550" ht="14.3" customHeight="1"/>
    <row r="551" ht="14.3" customHeight="1"/>
    <row r="552" ht="14.3" customHeight="1"/>
    <row r="553" ht="14.3" customHeight="1"/>
    <row r="554" ht="14.3" customHeight="1"/>
    <row r="555" ht="14.3" customHeight="1"/>
    <row r="556" ht="14.3" customHeight="1"/>
    <row r="557" ht="14.3" customHeight="1"/>
    <row r="558" ht="14.3" customHeight="1"/>
    <row r="559" ht="14.3" customHeight="1"/>
    <row r="560" ht="14.3" customHeight="1"/>
    <row r="561" ht="14.3" customHeight="1"/>
    <row r="562" ht="14.3" customHeight="1"/>
    <row r="563" ht="14.3" customHeight="1"/>
    <row r="564" ht="14.3" customHeight="1"/>
    <row r="565" ht="14.3" customHeight="1"/>
    <row r="566" ht="14.3" customHeight="1"/>
    <row r="567" ht="14.3" customHeight="1"/>
    <row r="568" ht="14.3" customHeight="1"/>
    <row r="569" ht="14.3" customHeight="1"/>
    <row r="570" ht="14.3" customHeight="1"/>
    <row r="571" ht="14.3" customHeight="1"/>
    <row r="572" ht="14.3" customHeight="1"/>
    <row r="573" ht="14.3" customHeight="1"/>
    <row r="574" ht="14.3" customHeight="1"/>
    <row r="575" ht="14.3" customHeight="1"/>
    <row r="576" ht="14.3" customHeight="1"/>
    <row r="577" ht="14.3" customHeight="1"/>
    <row r="578" ht="14.3" customHeight="1"/>
    <row r="579" ht="14.3" customHeight="1"/>
    <row r="580" ht="14.3" customHeight="1"/>
    <row r="581" ht="14.3" customHeight="1"/>
    <row r="582" ht="14.3" customHeight="1"/>
    <row r="583" ht="14.3" customHeight="1"/>
    <row r="584" ht="14.3" customHeight="1"/>
    <row r="585" ht="14.3" customHeight="1"/>
    <row r="586" ht="14.3" customHeight="1"/>
    <row r="587" ht="14.3" customHeight="1"/>
    <row r="588" ht="14.3" customHeight="1"/>
    <row r="589" ht="14.3" customHeight="1"/>
    <row r="590" ht="14.3" customHeight="1"/>
    <row r="591" ht="14.3" customHeight="1"/>
    <row r="592" ht="14.3" customHeight="1"/>
    <row r="593" ht="14.3" customHeight="1"/>
    <row r="594" ht="14.3" customHeight="1"/>
    <row r="595" ht="14.3" customHeight="1"/>
    <row r="596" ht="14.3" customHeight="1"/>
    <row r="597" ht="14.3" customHeight="1"/>
    <row r="598" ht="14.3" customHeight="1"/>
    <row r="599" ht="14.3" customHeight="1"/>
    <row r="600" ht="14.3" customHeight="1"/>
    <row r="601" ht="14.3" customHeight="1"/>
    <row r="602" ht="14.3" customHeight="1"/>
    <row r="603" ht="14.3" customHeight="1"/>
    <row r="604" ht="14.3" customHeight="1"/>
    <row r="605" ht="14.3" customHeight="1"/>
    <row r="606" ht="14.3" customHeight="1"/>
    <row r="607" ht="14.3" customHeight="1"/>
    <row r="608" ht="14.3" customHeight="1"/>
    <row r="609" ht="14.3" customHeight="1"/>
    <row r="610" ht="14.3" customHeight="1"/>
    <row r="611" ht="14.3" customHeight="1"/>
    <row r="612" ht="14.3" customHeight="1"/>
    <row r="613" ht="14.3" customHeight="1"/>
    <row r="614" ht="14.3" customHeight="1"/>
    <row r="615" ht="14.3" customHeight="1"/>
    <row r="616" ht="14.3" customHeight="1"/>
    <row r="617" ht="14.3" customHeight="1"/>
    <row r="618" ht="14.3" customHeight="1"/>
    <row r="619" ht="14.3" customHeight="1"/>
    <row r="620" ht="14.3" customHeight="1"/>
    <row r="621" ht="14.3" customHeight="1"/>
    <row r="622" ht="14.3" customHeight="1"/>
    <row r="623" ht="14.3" customHeight="1"/>
    <row r="624" ht="14.3" customHeight="1"/>
    <row r="625" ht="14.3" customHeight="1"/>
    <row r="626" ht="14.3" customHeight="1"/>
    <row r="627" ht="14.3" customHeight="1"/>
    <row r="628" ht="14.3" customHeight="1"/>
    <row r="629" ht="14.3" customHeight="1"/>
    <row r="630" ht="14.3" customHeight="1"/>
    <row r="631" ht="14.3" customHeight="1"/>
    <row r="632" ht="14.3" customHeight="1"/>
    <row r="633" ht="14.3" customHeight="1"/>
    <row r="634" ht="14.3" customHeight="1"/>
    <row r="635" ht="14.3" customHeight="1"/>
    <row r="636" ht="14.3" customHeight="1"/>
    <row r="637" ht="14.3" customHeight="1"/>
    <row r="638" ht="14.3" customHeight="1"/>
    <row r="639" ht="14.3" customHeight="1"/>
    <row r="640" ht="14.3" customHeight="1"/>
    <row r="641" ht="14.3" customHeight="1"/>
    <row r="642" ht="14.3" customHeight="1"/>
    <row r="643" ht="14.3" customHeight="1"/>
    <row r="644" ht="14.3" customHeight="1"/>
    <row r="645" ht="14.3" customHeight="1"/>
    <row r="646" ht="14.3" customHeight="1"/>
    <row r="647" ht="14.3" customHeight="1"/>
    <row r="648" ht="14.3" customHeight="1"/>
    <row r="649" ht="14.3" customHeight="1"/>
    <row r="650" ht="14.3" customHeight="1"/>
    <row r="651" ht="14.3" customHeight="1"/>
    <row r="652" ht="14.3" customHeight="1"/>
    <row r="653" ht="14.3" customHeight="1"/>
    <row r="654" ht="14.3" customHeight="1"/>
    <row r="655" ht="14.3" customHeight="1"/>
    <row r="656" ht="14.3" customHeight="1"/>
    <row r="657" ht="14.3" customHeight="1"/>
    <row r="658" ht="14.3" customHeight="1"/>
    <row r="659" ht="14.3" customHeight="1"/>
    <row r="660" ht="14.3" customHeight="1"/>
    <row r="661" ht="14.3" customHeight="1"/>
    <row r="662" ht="14.3" customHeight="1"/>
    <row r="663" ht="14.3" customHeight="1"/>
    <row r="664" ht="14.3" customHeight="1"/>
    <row r="665" ht="14.3" customHeight="1"/>
    <row r="666" ht="14.3" customHeight="1"/>
    <row r="667" ht="14.3" customHeight="1"/>
    <row r="668" ht="14.3" customHeight="1"/>
    <row r="669" ht="14.3" customHeight="1"/>
    <row r="670" ht="14.3" customHeight="1"/>
    <row r="671" ht="14.3" customHeight="1"/>
    <row r="672" ht="14.3" customHeight="1"/>
    <row r="673" ht="14.3" customHeight="1"/>
    <row r="674" ht="14.3" customHeight="1"/>
    <row r="675" ht="14.3" customHeight="1"/>
    <row r="676" ht="14.3" customHeight="1"/>
    <row r="677" ht="14.3" customHeight="1"/>
    <row r="678" ht="14.3" customHeight="1"/>
    <row r="679" ht="14.3" customHeight="1"/>
    <row r="680" ht="14.3" customHeight="1"/>
    <row r="681" ht="14.3" customHeight="1"/>
    <row r="682" ht="14.3" customHeight="1"/>
    <row r="683" ht="14.3" customHeight="1"/>
    <row r="684" ht="14.3" customHeight="1"/>
    <row r="685" ht="14.3" customHeight="1"/>
    <row r="686" ht="14.3" customHeight="1"/>
    <row r="687" ht="14.3" customHeight="1"/>
    <row r="688" ht="14.3" customHeight="1"/>
    <row r="689" ht="14.3" customHeight="1"/>
    <row r="690" ht="14.3" customHeight="1"/>
    <row r="691" ht="14.3" customHeight="1"/>
    <row r="692" ht="14.3" customHeight="1"/>
    <row r="693" ht="14.3" customHeight="1"/>
    <row r="694" ht="14.3" customHeight="1"/>
    <row r="695" ht="14.3" customHeight="1"/>
    <row r="696" ht="14.3" customHeight="1"/>
    <row r="697" ht="14.3" customHeight="1"/>
    <row r="698" ht="14.3" customHeight="1"/>
    <row r="699" ht="14.3" customHeight="1"/>
    <row r="700" ht="14.3" customHeight="1"/>
    <row r="701" ht="14.3" customHeight="1"/>
    <row r="702" ht="14.3" customHeight="1"/>
    <row r="703" ht="14.3" customHeight="1"/>
    <row r="704" ht="14.3" customHeight="1"/>
    <row r="705" ht="14.3" customHeight="1"/>
    <row r="706" ht="14.3" customHeight="1"/>
    <row r="707" ht="14.3" customHeight="1"/>
    <row r="708" ht="14.3" customHeight="1"/>
    <row r="709" ht="14.3" customHeight="1"/>
    <row r="710" ht="14.3" customHeight="1"/>
    <row r="711" ht="14.3" customHeight="1"/>
    <row r="712" ht="14.3" customHeight="1"/>
    <row r="713" ht="14.3" customHeight="1"/>
    <row r="714" ht="14.3" customHeight="1"/>
    <row r="715" ht="14.3" customHeight="1"/>
    <row r="716" ht="14.3" customHeight="1"/>
    <row r="717" ht="14.3" customHeight="1"/>
    <row r="718" ht="14.3" customHeight="1"/>
    <row r="719" ht="14.3" customHeight="1"/>
    <row r="720" ht="14.3" customHeight="1"/>
    <row r="721" ht="14.3" customHeight="1"/>
    <row r="722" ht="14.3" customHeight="1"/>
    <row r="723" ht="14.3" customHeight="1"/>
    <row r="724" ht="14.3" customHeight="1"/>
    <row r="725" ht="14.3" customHeight="1"/>
    <row r="726" ht="14.3" customHeight="1"/>
    <row r="727" ht="14.3" customHeight="1"/>
    <row r="728" ht="14.3" customHeight="1"/>
    <row r="729" ht="14.3" customHeight="1"/>
    <row r="730" ht="14.3" customHeight="1"/>
    <row r="731" ht="14.3" customHeight="1"/>
    <row r="732" ht="14.3" customHeight="1"/>
    <row r="733" ht="14.3" customHeight="1"/>
    <row r="734" ht="14.3" customHeight="1"/>
    <row r="735" ht="14.3" customHeight="1"/>
    <row r="736" ht="14.3" customHeight="1"/>
    <row r="737" ht="14.3" customHeight="1"/>
    <row r="738" ht="14.3" customHeight="1"/>
    <row r="739" ht="14.3" customHeight="1"/>
    <row r="740" ht="14.3" customHeight="1"/>
    <row r="741" ht="14.3" customHeight="1"/>
    <row r="742" ht="14.3" customHeight="1"/>
    <row r="743" ht="14.3" customHeight="1"/>
    <row r="744" ht="14.3" customHeight="1"/>
    <row r="745" ht="14.3" customHeight="1"/>
    <row r="746" ht="14.3" customHeight="1"/>
    <row r="747" ht="14.3" customHeight="1"/>
    <row r="748" ht="14.3" customHeight="1"/>
    <row r="749" ht="14.3" customHeight="1"/>
    <row r="750" ht="14.3" customHeight="1"/>
    <row r="751" ht="14.3" customHeight="1"/>
    <row r="752" ht="14.3" customHeight="1"/>
    <row r="753" ht="14.3" customHeight="1"/>
    <row r="754" ht="14.3" customHeight="1"/>
    <row r="755" ht="14.3" customHeight="1"/>
    <row r="756" ht="14.3" customHeight="1"/>
    <row r="757" ht="14.3" customHeight="1"/>
    <row r="758" ht="14.3" customHeight="1"/>
    <row r="759" ht="14.3" customHeight="1"/>
    <row r="760" ht="14.3" customHeight="1"/>
    <row r="761" ht="14.3" customHeight="1"/>
    <row r="762" ht="14.3" customHeight="1"/>
    <row r="763" ht="14.3" customHeight="1"/>
    <row r="764" ht="14.3" customHeight="1"/>
    <row r="765" ht="14.3" customHeight="1"/>
    <row r="766" ht="14.3" customHeight="1"/>
    <row r="767" ht="14.3" customHeight="1"/>
    <row r="768" ht="14.3" customHeight="1"/>
    <row r="769" ht="14.3" customHeight="1"/>
    <row r="770" ht="14.3" customHeight="1"/>
    <row r="771" ht="14.3" customHeight="1"/>
    <row r="772" ht="14.3" customHeight="1"/>
    <row r="773" ht="14.3" customHeight="1"/>
    <row r="774" ht="14.3" customHeight="1"/>
    <row r="775" ht="14.3" customHeight="1"/>
    <row r="776" ht="14.3" customHeight="1"/>
    <row r="777" ht="14.3" customHeight="1"/>
    <row r="778" ht="14.3" customHeight="1"/>
    <row r="779" ht="14.3" customHeight="1"/>
    <row r="780" ht="14.3" customHeight="1"/>
    <row r="781" ht="14.3" customHeight="1"/>
    <row r="782" ht="14.3" customHeight="1"/>
    <row r="783" ht="14.3" customHeight="1"/>
    <row r="784" ht="14.3" customHeight="1"/>
    <row r="785" ht="14.3" customHeight="1"/>
    <row r="786" ht="14.3" customHeight="1"/>
    <row r="787" ht="14.3" customHeight="1"/>
    <row r="788" ht="14.3" customHeight="1"/>
    <row r="789" ht="14.3" customHeight="1"/>
    <row r="790" ht="14.3" customHeight="1"/>
    <row r="791" ht="14.3" customHeight="1"/>
    <row r="792" ht="14.3" customHeight="1"/>
    <row r="793" ht="14.3" customHeight="1"/>
    <row r="794" ht="14.3" customHeight="1"/>
    <row r="795" ht="14.3" customHeight="1"/>
    <row r="796" ht="14.3" customHeight="1"/>
    <row r="797" ht="14.3" customHeight="1"/>
    <row r="798" ht="14.3" customHeight="1"/>
    <row r="799" ht="14.3" customHeight="1"/>
    <row r="800" ht="14.3" customHeight="1"/>
    <row r="801" ht="14.3" customHeight="1"/>
    <row r="802" ht="14.3" customHeight="1"/>
    <row r="803" ht="14.3" customHeight="1"/>
    <row r="804" ht="14.3" customHeight="1"/>
    <row r="805" ht="14.3" customHeight="1"/>
    <row r="806" ht="14.3" customHeight="1"/>
    <row r="807" ht="14.3" customHeight="1"/>
    <row r="808" ht="14.3" customHeight="1"/>
    <row r="809" ht="14.3" customHeight="1"/>
    <row r="810" ht="14.3" customHeight="1"/>
    <row r="811" ht="14.3" customHeight="1"/>
    <row r="812" ht="14.3" customHeight="1"/>
    <row r="813" ht="14.3" customHeight="1"/>
    <row r="814" ht="14.3" customHeight="1"/>
    <row r="815" ht="14.3" customHeight="1"/>
    <row r="816" ht="14.3" customHeight="1"/>
    <row r="817" ht="14.3" customHeight="1"/>
    <row r="818" ht="14.3" customHeight="1"/>
    <row r="819" ht="14.3" customHeight="1"/>
    <row r="820" ht="14.3" customHeight="1"/>
    <row r="821" ht="14.3" customHeight="1"/>
    <row r="822" ht="14.3" customHeight="1"/>
    <row r="823" ht="14.3" customHeight="1"/>
    <row r="824" ht="14.3" customHeight="1"/>
    <row r="825" ht="14.3" customHeight="1"/>
    <row r="826" ht="14.3" customHeight="1"/>
    <row r="827" ht="14.3" customHeight="1"/>
    <row r="828" ht="14.3" customHeight="1"/>
    <row r="829" ht="14.3" customHeight="1"/>
    <row r="830" ht="14.3" customHeight="1"/>
    <row r="831" ht="14.3" customHeight="1"/>
    <row r="832" ht="14.3" customHeight="1"/>
    <row r="833" ht="14.3" customHeight="1"/>
    <row r="834" ht="14.3" customHeight="1"/>
    <row r="835" ht="14.3" customHeight="1"/>
    <row r="836" ht="14.3" customHeight="1"/>
    <row r="837" ht="14.3" customHeight="1"/>
    <row r="838" ht="14.3" customHeight="1"/>
    <row r="839" ht="14.3" customHeight="1"/>
    <row r="840" ht="14.3" customHeight="1"/>
    <row r="841" ht="14.3" customHeight="1"/>
    <row r="842" ht="14.3" customHeight="1"/>
    <row r="843" ht="14.3" customHeight="1"/>
    <row r="844" ht="14.3" customHeight="1"/>
    <row r="845" ht="14.3" customHeight="1"/>
    <row r="846" ht="14.3" customHeight="1"/>
    <row r="847" ht="14.3" customHeight="1"/>
    <row r="848" ht="14.3" customHeight="1"/>
    <row r="849" ht="14.3" customHeight="1"/>
    <row r="850" ht="14.3" customHeight="1"/>
    <row r="851" ht="14.3" customHeight="1"/>
    <row r="852" ht="14.3" customHeight="1"/>
    <row r="853" ht="14.3" customHeight="1"/>
    <row r="854" ht="14.3" customHeight="1"/>
    <row r="855" ht="14.3" customHeight="1"/>
    <row r="856" ht="14.3" customHeight="1"/>
    <row r="857" ht="14.3" customHeight="1"/>
    <row r="858" ht="14.3" customHeight="1"/>
    <row r="859" ht="14.3" customHeight="1"/>
    <row r="860" ht="14.3" customHeight="1"/>
    <row r="861" ht="14.3" customHeight="1"/>
    <row r="862" ht="14.3" customHeight="1"/>
    <row r="863" ht="14.3" customHeight="1"/>
    <row r="864" ht="14.3" customHeight="1"/>
    <row r="865" ht="14.3" customHeight="1"/>
    <row r="866" ht="14.3" customHeight="1"/>
    <row r="867" ht="14.3" customHeight="1"/>
    <row r="868" ht="14.3" customHeight="1"/>
    <row r="869" ht="14.3" customHeight="1"/>
    <row r="870" ht="14.3" customHeight="1"/>
    <row r="871" ht="14.3" customHeight="1"/>
    <row r="872" ht="14.3" customHeight="1"/>
    <row r="873" ht="14.3" customHeight="1"/>
    <row r="874" ht="14.3" customHeight="1"/>
    <row r="875" ht="14.3" customHeight="1"/>
    <row r="876" ht="14.3" customHeight="1"/>
    <row r="877" ht="14.3" customHeight="1"/>
    <row r="878" ht="14.3" customHeight="1"/>
    <row r="879" ht="14.3" customHeight="1"/>
    <row r="880" ht="14.3" customHeight="1"/>
    <row r="881" ht="14.3" customHeight="1"/>
    <row r="882" ht="14.3" customHeight="1"/>
    <row r="883" ht="14.3" customHeight="1"/>
    <row r="884" ht="14.3" customHeight="1"/>
    <row r="885" ht="14.3" customHeight="1"/>
    <row r="886" ht="14.3" customHeight="1"/>
    <row r="887" ht="14.3" customHeight="1"/>
    <row r="888" ht="14.3" customHeight="1"/>
    <row r="889" ht="14.3" customHeight="1"/>
    <row r="890" ht="14.3" customHeight="1"/>
    <row r="891" ht="14.3" customHeight="1"/>
    <row r="892" ht="14.3" customHeight="1"/>
    <row r="893" ht="14.3" customHeight="1"/>
    <row r="894" ht="14.3" customHeight="1"/>
    <row r="895" ht="14.3" customHeight="1"/>
    <row r="896" ht="14.3" customHeight="1"/>
    <row r="897" ht="14.3" customHeight="1"/>
    <row r="898" ht="14.3" customHeight="1"/>
    <row r="899" ht="14.3" customHeight="1"/>
    <row r="900" ht="14.3" customHeight="1"/>
    <row r="901" ht="14.3" customHeight="1"/>
    <row r="902" ht="14.3" customHeight="1"/>
    <row r="903" ht="14.3" customHeight="1"/>
    <row r="904" ht="14.3" customHeight="1"/>
    <row r="905" ht="14.3" customHeight="1"/>
    <row r="906" ht="14.3" customHeight="1"/>
    <row r="907" ht="14.3" customHeight="1"/>
    <row r="908" ht="14.3" customHeight="1"/>
    <row r="909" ht="14.3" customHeight="1"/>
    <row r="910" ht="14.3" customHeight="1"/>
    <row r="911" ht="14.3" customHeight="1"/>
    <row r="912" ht="14.3" customHeight="1"/>
    <row r="913" ht="14.3" customHeight="1"/>
    <row r="914" ht="14.3" customHeight="1"/>
    <row r="915" ht="14.3" customHeight="1"/>
    <row r="916" ht="14.3" customHeight="1"/>
    <row r="917" ht="14.3" customHeight="1"/>
    <row r="918" ht="14.3" customHeight="1"/>
    <row r="919" ht="14.3" customHeight="1"/>
    <row r="920" ht="14.3" customHeight="1"/>
    <row r="921" ht="14.3" customHeight="1"/>
    <row r="922" ht="14.3" customHeight="1"/>
    <row r="923" ht="14.3" customHeight="1"/>
    <row r="924" ht="14.3" customHeight="1"/>
    <row r="925" ht="14.3" customHeight="1"/>
    <row r="926" ht="14.3" customHeight="1"/>
    <row r="927" ht="14.3" customHeight="1"/>
    <row r="928" ht="14.3" customHeight="1"/>
    <row r="929" ht="14.3" customHeight="1"/>
    <row r="930" ht="14.3" customHeight="1"/>
    <row r="931" ht="14.3" customHeight="1"/>
    <row r="932" ht="14.3" customHeight="1"/>
    <row r="933" ht="14.3" customHeight="1"/>
    <row r="934" ht="14.3" customHeight="1"/>
    <row r="935" ht="14.3" customHeight="1"/>
    <row r="936" ht="14.3" customHeight="1"/>
    <row r="937" ht="14.3" customHeight="1"/>
    <row r="938" ht="14.3" customHeight="1"/>
    <row r="939" ht="14.3" customHeight="1"/>
    <row r="940" ht="14.3" customHeight="1"/>
    <row r="941" ht="14.3" customHeight="1"/>
    <row r="942" ht="14.3" customHeight="1"/>
    <row r="943" ht="14.3" customHeight="1"/>
    <row r="944" ht="14.3" customHeight="1"/>
    <row r="945" ht="14.3" customHeight="1"/>
    <row r="946" ht="14.3" customHeight="1"/>
    <row r="947" ht="14.3" customHeight="1"/>
    <row r="948" ht="14.3" customHeight="1"/>
    <row r="949" ht="14.3" customHeight="1"/>
    <row r="950" ht="14.3" customHeight="1"/>
    <row r="951" ht="14.3" customHeight="1"/>
    <row r="952" ht="14.3" customHeight="1"/>
    <row r="953" ht="14.3" customHeight="1"/>
    <row r="954" ht="14.3" customHeight="1"/>
    <row r="955" ht="14.3" customHeight="1"/>
    <row r="956" ht="14.3" customHeight="1"/>
    <row r="957" ht="14.3" customHeight="1"/>
    <row r="958" ht="14.3" customHeight="1"/>
    <row r="959" ht="14.3" customHeight="1"/>
    <row r="960" ht="14.3" customHeight="1"/>
    <row r="961" ht="14.3" customHeight="1"/>
    <row r="962" ht="14.3" customHeight="1"/>
    <row r="963" ht="14.3" customHeight="1"/>
    <row r="964" ht="14.3" customHeight="1"/>
    <row r="965" ht="14.3" customHeight="1"/>
    <row r="966" ht="14.3" customHeight="1"/>
    <row r="967" ht="14.3" customHeight="1"/>
    <row r="968" ht="14.3" customHeight="1"/>
    <row r="969" ht="14.3" customHeight="1"/>
    <row r="970" ht="14.3" customHeight="1"/>
    <row r="971" ht="14.3" customHeight="1"/>
    <row r="972" ht="14.3" customHeight="1"/>
    <row r="973" ht="14.3" customHeight="1"/>
    <row r="974" ht="14.3" customHeight="1"/>
    <row r="975" ht="14.3" customHeight="1"/>
    <row r="976" ht="14.3" customHeight="1"/>
    <row r="977" ht="14.3" customHeight="1"/>
    <row r="978" ht="14.3" customHeight="1"/>
    <row r="979" ht="14.3" customHeight="1"/>
    <row r="980" ht="14.3" customHeight="1"/>
    <row r="981" ht="14.3" customHeight="1"/>
    <row r="982" ht="14.3" customHeight="1"/>
    <row r="983" ht="14.3" customHeight="1"/>
    <row r="984" ht="14.3" customHeight="1"/>
    <row r="985" ht="14.3" customHeight="1"/>
    <row r="986" ht="14.3" customHeight="1"/>
    <row r="987" ht="14.3" customHeight="1"/>
    <row r="988" ht="14.3" customHeight="1"/>
    <row r="989" ht="14.3" customHeight="1"/>
    <row r="990" ht="14.3" customHeight="1"/>
    <row r="991" ht="14.3" customHeight="1"/>
    <row r="992" ht="14.3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1000"/>
  <sheetViews>
    <sheetView tabSelected="1" topLeftCell="E1" workbookViewId="0">
      <selection activeCell="I8" sqref="I8"/>
    </sheetView>
  </sheetViews>
  <sheetFormatPr defaultColWidth="14.4140625" defaultRowHeight="15" customHeight="1"/>
  <cols>
    <col min="1" max="1" width="3.6640625" customWidth="1"/>
    <col min="2" max="2" width="7.33203125" customWidth="1"/>
    <col min="3" max="3" width="16.25" customWidth="1"/>
    <col min="4" max="4" width="17.4140625" customWidth="1"/>
    <col min="5" max="5" width="12.6640625" customWidth="1"/>
    <col min="6" max="6" width="10.4140625" customWidth="1"/>
    <col min="7" max="7" width="15.9140625" customWidth="1"/>
    <col min="8" max="8" width="12.6640625" customWidth="1"/>
    <col min="9" max="9" width="13.6640625" customWidth="1"/>
    <col min="10" max="10" width="11.6640625" customWidth="1"/>
    <col min="11" max="11" width="10" customWidth="1"/>
    <col min="12" max="12" width="11" customWidth="1"/>
    <col min="13" max="13" width="13.4140625" customWidth="1"/>
    <col min="14" max="14" width="4.58203125" customWidth="1"/>
    <col min="15" max="16" width="14.4140625" customWidth="1"/>
    <col min="17" max="26" width="8.6640625" customWidth="1"/>
  </cols>
  <sheetData>
    <row r="1" spans="2:16" ht="14.3" customHeight="1"/>
    <row r="2" spans="2:16" ht="14.3" customHeight="1" thickBot="1"/>
    <row r="3" spans="2:16" ht="14.3" customHeight="1"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5" t="s">
        <v>9</v>
      </c>
      <c r="L3" s="21" t="s">
        <v>10</v>
      </c>
      <c r="M3" s="22"/>
      <c r="O3" s="23" t="s">
        <v>11</v>
      </c>
      <c r="P3" s="24"/>
    </row>
    <row r="4" spans="2:16" ht="14.3" customHeight="1" thickBot="1">
      <c r="B4" s="6">
        <v>1</v>
      </c>
      <c r="C4" s="7" t="s">
        <v>12</v>
      </c>
      <c r="D4" s="8">
        <v>42682</v>
      </c>
      <c r="E4" s="8">
        <v>42685</v>
      </c>
      <c r="F4" s="7" t="s">
        <v>13</v>
      </c>
      <c r="G4" s="7" t="s">
        <v>14</v>
      </c>
      <c r="H4" s="7">
        <v>261.95999999999998</v>
      </c>
      <c r="I4" s="9">
        <f>MONTH(D4)</f>
        <v>11</v>
      </c>
      <c r="J4">
        <f>DATEDIF(D4,E4,"D")</f>
        <v>3</v>
      </c>
      <c r="L4" s="16" t="s">
        <v>15</v>
      </c>
      <c r="M4" s="17" t="s">
        <v>16</v>
      </c>
      <c r="O4" s="10" t="s">
        <v>17</v>
      </c>
      <c r="P4" s="11">
        <f>AVERAGE(J4:J503)</f>
        <v>4.0880000000000001</v>
      </c>
    </row>
    <row r="5" spans="2:16" ht="14.3" customHeight="1">
      <c r="B5" s="6">
        <v>2</v>
      </c>
      <c r="C5" s="7" t="s">
        <v>12</v>
      </c>
      <c r="D5" s="8">
        <v>42682</v>
      </c>
      <c r="E5" s="8">
        <v>42685</v>
      </c>
      <c r="F5" s="7" t="s">
        <v>13</v>
      </c>
      <c r="G5" s="7" t="s">
        <v>18</v>
      </c>
      <c r="H5" s="7">
        <v>731.93999999999994</v>
      </c>
      <c r="I5" s="9">
        <f t="shared" ref="I5:I68" si="0">MONTH(D5)</f>
        <v>11</v>
      </c>
      <c r="J5">
        <f t="shared" ref="J5:J68" si="1">DATEDIF(D5,E5,"D")</f>
        <v>3</v>
      </c>
      <c r="L5" s="16">
        <v>1</v>
      </c>
      <c r="M5" s="18">
        <f>COUNTIF(I4:I503,L5)</f>
        <v>13</v>
      </c>
    </row>
    <row r="6" spans="2:16" ht="14.3" customHeight="1">
      <c r="B6" s="6">
        <v>3</v>
      </c>
      <c r="C6" s="7" t="s">
        <v>19</v>
      </c>
      <c r="D6" s="8">
        <v>42533</v>
      </c>
      <c r="E6" s="8">
        <v>42537</v>
      </c>
      <c r="F6" s="7" t="s">
        <v>20</v>
      </c>
      <c r="G6" s="7" t="s">
        <v>21</v>
      </c>
      <c r="H6" s="7">
        <v>14.62</v>
      </c>
      <c r="I6" s="9">
        <f t="shared" si="0"/>
        <v>6</v>
      </c>
      <c r="J6">
        <f t="shared" si="1"/>
        <v>4</v>
      </c>
      <c r="L6" s="16">
        <v>2</v>
      </c>
      <c r="M6" s="18">
        <f t="shared" ref="M6:M16" si="2">COUNTIF(I5:I504,L6)</f>
        <v>7</v>
      </c>
    </row>
    <row r="7" spans="2:16" ht="14.3" customHeight="1">
      <c r="B7" s="6">
        <v>4</v>
      </c>
      <c r="C7" s="7" t="s">
        <v>22</v>
      </c>
      <c r="D7" s="8">
        <v>42288</v>
      </c>
      <c r="E7" s="8">
        <v>42295</v>
      </c>
      <c r="F7" s="7" t="s">
        <v>23</v>
      </c>
      <c r="G7" s="7" t="s">
        <v>24</v>
      </c>
      <c r="H7" s="7">
        <v>957.57749999999999</v>
      </c>
      <c r="I7" s="9">
        <f t="shared" si="0"/>
        <v>10</v>
      </c>
      <c r="J7">
        <f t="shared" si="1"/>
        <v>7</v>
      </c>
      <c r="L7" s="16">
        <v>3</v>
      </c>
      <c r="M7" s="18">
        <f t="shared" si="2"/>
        <v>15</v>
      </c>
    </row>
    <row r="8" spans="2:16" ht="14.3" customHeight="1">
      <c r="B8" s="6">
        <v>5</v>
      </c>
      <c r="C8" s="7" t="s">
        <v>22</v>
      </c>
      <c r="D8" s="8">
        <v>42288</v>
      </c>
      <c r="E8" s="8">
        <v>42295</v>
      </c>
      <c r="F8" s="7" t="s">
        <v>23</v>
      </c>
      <c r="G8" s="7" t="s">
        <v>25</v>
      </c>
      <c r="H8" s="7">
        <v>22.368000000000002</v>
      </c>
      <c r="I8" s="9">
        <f t="shared" si="0"/>
        <v>10</v>
      </c>
      <c r="J8">
        <f t="shared" si="1"/>
        <v>7</v>
      </c>
      <c r="L8" s="16">
        <v>4</v>
      </c>
      <c r="M8" s="18">
        <f t="shared" si="2"/>
        <v>52</v>
      </c>
    </row>
    <row r="9" spans="2:16" ht="14.3" customHeight="1">
      <c r="B9" s="6">
        <v>6</v>
      </c>
      <c r="C9" s="7" t="s">
        <v>26</v>
      </c>
      <c r="D9" s="8">
        <v>41799</v>
      </c>
      <c r="E9" s="8">
        <v>41804</v>
      </c>
      <c r="F9" s="7" t="s">
        <v>27</v>
      </c>
      <c r="G9" s="7" t="s">
        <v>28</v>
      </c>
      <c r="H9" s="7">
        <v>48.86</v>
      </c>
      <c r="I9" s="9">
        <f t="shared" si="0"/>
        <v>6</v>
      </c>
      <c r="J9">
        <f t="shared" si="1"/>
        <v>5</v>
      </c>
      <c r="L9" s="16">
        <v>5</v>
      </c>
      <c r="M9" s="18">
        <f t="shared" si="2"/>
        <v>11</v>
      </c>
      <c r="O9" s="9"/>
    </row>
    <row r="10" spans="2:16" ht="14.3" customHeight="1">
      <c r="B10" s="6">
        <v>7</v>
      </c>
      <c r="C10" s="7" t="s">
        <v>26</v>
      </c>
      <c r="D10" s="8">
        <v>41799</v>
      </c>
      <c r="E10" s="8">
        <v>41804</v>
      </c>
      <c r="F10" s="7" t="s">
        <v>27</v>
      </c>
      <c r="G10" s="7" t="s">
        <v>29</v>
      </c>
      <c r="H10" s="7">
        <v>7.28</v>
      </c>
      <c r="I10" s="9">
        <f t="shared" si="0"/>
        <v>6</v>
      </c>
      <c r="J10">
        <f t="shared" si="1"/>
        <v>5</v>
      </c>
      <c r="L10" s="16">
        <v>6</v>
      </c>
      <c r="M10" s="18">
        <f t="shared" si="2"/>
        <v>62</v>
      </c>
    </row>
    <row r="11" spans="2:16" ht="14.3" customHeight="1">
      <c r="B11" s="6">
        <v>8</v>
      </c>
      <c r="C11" s="7" t="s">
        <v>26</v>
      </c>
      <c r="D11" s="8">
        <v>41799</v>
      </c>
      <c r="E11" s="8">
        <v>41804</v>
      </c>
      <c r="F11" s="7" t="s">
        <v>27</v>
      </c>
      <c r="G11" s="7" t="s">
        <v>30</v>
      </c>
      <c r="H11" s="7">
        <v>907.15200000000004</v>
      </c>
      <c r="I11" s="9">
        <f t="shared" si="0"/>
        <v>6</v>
      </c>
      <c r="J11">
        <f t="shared" si="1"/>
        <v>5</v>
      </c>
      <c r="L11" s="16">
        <v>7</v>
      </c>
      <c r="M11" s="18">
        <f t="shared" si="2"/>
        <v>25</v>
      </c>
    </row>
    <row r="12" spans="2:16" ht="14.3" customHeight="1">
      <c r="B12" s="6">
        <v>9</v>
      </c>
      <c r="C12" s="7" t="s">
        <v>26</v>
      </c>
      <c r="D12" s="8">
        <v>41799</v>
      </c>
      <c r="E12" s="8">
        <v>41804</v>
      </c>
      <c r="F12" s="7" t="s">
        <v>27</v>
      </c>
      <c r="G12" s="7" t="s">
        <v>31</v>
      </c>
      <c r="H12" s="7">
        <v>18.504000000000001</v>
      </c>
      <c r="I12" s="9">
        <f t="shared" si="0"/>
        <v>6</v>
      </c>
      <c r="J12">
        <f t="shared" si="1"/>
        <v>5</v>
      </c>
      <c r="L12" s="16">
        <v>8</v>
      </c>
      <c r="M12" s="18">
        <f t="shared" si="2"/>
        <v>28</v>
      </c>
    </row>
    <row r="13" spans="2:16" ht="14.3" customHeight="1">
      <c r="B13" s="6">
        <v>10</v>
      </c>
      <c r="C13" s="7" t="s">
        <v>26</v>
      </c>
      <c r="D13" s="8">
        <v>41799</v>
      </c>
      <c r="E13" s="8">
        <v>41804</v>
      </c>
      <c r="F13" s="7" t="s">
        <v>27</v>
      </c>
      <c r="G13" s="7" t="s">
        <v>32</v>
      </c>
      <c r="H13" s="7">
        <v>114.9</v>
      </c>
      <c r="I13" s="9">
        <f t="shared" si="0"/>
        <v>6</v>
      </c>
      <c r="J13">
        <f t="shared" si="1"/>
        <v>5</v>
      </c>
      <c r="L13" s="16">
        <v>9</v>
      </c>
      <c r="M13" s="18">
        <f t="shared" si="2"/>
        <v>82</v>
      </c>
    </row>
    <row r="14" spans="2:16" ht="14.3" customHeight="1">
      <c r="B14" s="6">
        <v>11</v>
      </c>
      <c r="C14" s="7" t="s">
        <v>26</v>
      </c>
      <c r="D14" s="8">
        <v>41799</v>
      </c>
      <c r="E14" s="8">
        <v>41804</v>
      </c>
      <c r="F14" s="7" t="s">
        <v>27</v>
      </c>
      <c r="G14" s="7" t="s">
        <v>33</v>
      </c>
      <c r="H14" s="7">
        <v>1706.1840000000002</v>
      </c>
      <c r="I14" s="9">
        <f t="shared" si="0"/>
        <v>6</v>
      </c>
      <c r="J14">
        <f t="shared" si="1"/>
        <v>5</v>
      </c>
      <c r="L14" s="16">
        <v>10</v>
      </c>
      <c r="M14" s="18">
        <f t="shared" si="2"/>
        <v>49</v>
      </c>
    </row>
    <row r="15" spans="2:16" ht="14.3" customHeight="1">
      <c r="B15" s="6">
        <v>12</v>
      </c>
      <c r="C15" s="7" t="s">
        <v>26</v>
      </c>
      <c r="D15" s="8">
        <v>41799</v>
      </c>
      <c r="E15" s="8">
        <v>41804</v>
      </c>
      <c r="F15" s="7" t="s">
        <v>27</v>
      </c>
      <c r="G15" s="7" t="s">
        <v>34</v>
      </c>
      <c r="H15" s="7">
        <v>911.42399999999998</v>
      </c>
      <c r="I15" s="9">
        <f t="shared" si="0"/>
        <v>6</v>
      </c>
      <c r="J15">
        <f t="shared" si="1"/>
        <v>5</v>
      </c>
      <c r="L15" s="16">
        <v>11</v>
      </c>
      <c r="M15" s="18">
        <f t="shared" si="2"/>
        <v>66</v>
      </c>
    </row>
    <row r="16" spans="2:16" ht="14.3" customHeight="1" thickBot="1">
      <c r="B16" s="6">
        <v>13</v>
      </c>
      <c r="C16" s="7" t="s">
        <v>35</v>
      </c>
      <c r="D16" s="8">
        <v>42840</v>
      </c>
      <c r="E16" s="8">
        <v>42845</v>
      </c>
      <c r="F16" s="7" t="s">
        <v>36</v>
      </c>
      <c r="G16" s="7" t="s">
        <v>37</v>
      </c>
      <c r="H16" s="7">
        <v>15.552000000000003</v>
      </c>
      <c r="I16" s="9">
        <f t="shared" si="0"/>
        <v>4</v>
      </c>
      <c r="J16">
        <f t="shared" si="1"/>
        <v>5</v>
      </c>
      <c r="L16" s="19">
        <v>12</v>
      </c>
      <c r="M16" s="20">
        <f t="shared" si="2"/>
        <v>85</v>
      </c>
    </row>
    <row r="17" spans="2:10" ht="14.3" customHeight="1">
      <c r="B17" s="6">
        <v>14</v>
      </c>
      <c r="C17" s="7" t="s">
        <v>38</v>
      </c>
      <c r="D17" s="8">
        <v>42709</v>
      </c>
      <c r="E17" s="8">
        <v>42714</v>
      </c>
      <c r="F17" s="7" t="s">
        <v>39</v>
      </c>
      <c r="G17" s="7" t="s">
        <v>40</v>
      </c>
      <c r="H17" s="7">
        <v>407.97600000000006</v>
      </c>
      <c r="I17" s="9">
        <f t="shared" si="0"/>
        <v>12</v>
      </c>
      <c r="J17">
        <f t="shared" si="1"/>
        <v>5</v>
      </c>
    </row>
    <row r="18" spans="2:10" ht="14.3" customHeight="1">
      <c r="B18" s="6">
        <v>15</v>
      </c>
      <c r="C18" s="7" t="s">
        <v>41</v>
      </c>
      <c r="D18" s="8">
        <v>42330</v>
      </c>
      <c r="E18" s="8">
        <v>42334</v>
      </c>
      <c r="F18" s="7" t="s">
        <v>42</v>
      </c>
      <c r="G18" s="7" t="s">
        <v>43</v>
      </c>
      <c r="H18" s="7">
        <v>68.809999999999988</v>
      </c>
      <c r="I18" s="9">
        <f t="shared" si="0"/>
        <v>11</v>
      </c>
      <c r="J18">
        <f t="shared" si="1"/>
        <v>4</v>
      </c>
    </row>
    <row r="19" spans="2:10" ht="14.3" customHeight="1">
      <c r="B19" s="6">
        <v>16</v>
      </c>
      <c r="C19" s="7" t="s">
        <v>41</v>
      </c>
      <c r="D19" s="8">
        <v>42330</v>
      </c>
      <c r="E19" s="8">
        <v>42334</v>
      </c>
      <c r="F19" s="7" t="s">
        <v>42</v>
      </c>
      <c r="G19" s="7" t="s">
        <v>44</v>
      </c>
      <c r="H19" s="7">
        <v>2.5439999999999996</v>
      </c>
      <c r="I19" s="9">
        <f t="shared" si="0"/>
        <v>11</v>
      </c>
      <c r="J19">
        <f t="shared" si="1"/>
        <v>4</v>
      </c>
    </row>
    <row r="20" spans="2:10" ht="14.3" customHeight="1">
      <c r="B20" s="6">
        <v>17</v>
      </c>
      <c r="C20" s="7" t="s">
        <v>45</v>
      </c>
      <c r="D20" s="8">
        <v>41954</v>
      </c>
      <c r="E20" s="8">
        <v>41961</v>
      </c>
      <c r="F20" s="7" t="s">
        <v>46</v>
      </c>
      <c r="G20" s="7" t="s">
        <v>47</v>
      </c>
      <c r="H20" s="7">
        <v>665.88</v>
      </c>
      <c r="I20" s="9">
        <f t="shared" si="0"/>
        <v>11</v>
      </c>
      <c r="J20">
        <f t="shared" si="1"/>
        <v>7</v>
      </c>
    </row>
    <row r="21" spans="2:10" ht="14.3" customHeight="1">
      <c r="B21" s="6">
        <v>18</v>
      </c>
      <c r="C21" s="7" t="s">
        <v>48</v>
      </c>
      <c r="D21" s="8">
        <v>41772</v>
      </c>
      <c r="E21" s="8">
        <v>41774</v>
      </c>
      <c r="F21" s="7" t="s">
        <v>49</v>
      </c>
      <c r="G21" s="7" t="s">
        <v>50</v>
      </c>
      <c r="H21" s="7">
        <v>55.5</v>
      </c>
      <c r="I21" s="9">
        <f t="shared" si="0"/>
        <v>5</v>
      </c>
      <c r="J21">
        <f t="shared" si="1"/>
        <v>2</v>
      </c>
    </row>
    <row r="22" spans="2:10" ht="14.3" customHeight="1">
      <c r="B22" s="6">
        <v>19</v>
      </c>
      <c r="C22" s="7" t="s">
        <v>51</v>
      </c>
      <c r="D22" s="8">
        <v>41878</v>
      </c>
      <c r="E22" s="8">
        <v>41883</v>
      </c>
      <c r="F22" s="7" t="s">
        <v>52</v>
      </c>
      <c r="G22" s="7" t="s">
        <v>53</v>
      </c>
      <c r="H22" s="7">
        <v>8.56</v>
      </c>
      <c r="I22" s="9">
        <f t="shared" si="0"/>
        <v>8</v>
      </c>
      <c r="J22">
        <f t="shared" si="1"/>
        <v>5</v>
      </c>
    </row>
    <row r="23" spans="2:10" ht="14.3" customHeight="1">
      <c r="B23" s="6">
        <v>20</v>
      </c>
      <c r="C23" s="7" t="s">
        <v>51</v>
      </c>
      <c r="D23" s="8">
        <v>41878</v>
      </c>
      <c r="E23" s="8">
        <v>41883</v>
      </c>
      <c r="F23" s="7" t="s">
        <v>52</v>
      </c>
      <c r="G23" s="7" t="s">
        <v>54</v>
      </c>
      <c r="H23" s="7">
        <v>213.48000000000002</v>
      </c>
      <c r="I23" s="9">
        <f t="shared" si="0"/>
        <v>8</v>
      </c>
      <c r="J23">
        <f t="shared" si="1"/>
        <v>5</v>
      </c>
    </row>
    <row r="24" spans="2:10" ht="14.3" customHeight="1">
      <c r="B24" s="6">
        <v>21</v>
      </c>
      <c r="C24" s="7" t="s">
        <v>51</v>
      </c>
      <c r="D24" s="8">
        <v>41878</v>
      </c>
      <c r="E24" s="8">
        <v>41883</v>
      </c>
      <c r="F24" s="7" t="s">
        <v>52</v>
      </c>
      <c r="G24" s="7" t="s">
        <v>55</v>
      </c>
      <c r="H24" s="7">
        <v>22.72</v>
      </c>
      <c r="I24" s="9">
        <f t="shared" si="0"/>
        <v>8</v>
      </c>
      <c r="J24">
        <f t="shared" si="1"/>
        <v>5</v>
      </c>
    </row>
    <row r="25" spans="2:10" ht="14.3" customHeight="1">
      <c r="B25" s="6">
        <v>22</v>
      </c>
      <c r="C25" s="7" t="s">
        <v>56</v>
      </c>
      <c r="D25" s="8">
        <v>42713</v>
      </c>
      <c r="E25" s="8">
        <v>42717</v>
      </c>
      <c r="F25" s="7" t="s">
        <v>57</v>
      </c>
      <c r="G25" s="7" t="s">
        <v>58</v>
      </c>
      <c r="H25" s="7">
        <v>19.459999999999997</v>
      </c>
      <c r="I25" s="9">
        <f t="shared" si="0"/>
        <v>12</v>
      </c>
      <c r="J25">
        <f t="shared" si="1"/>
        <v>4</v>
      </c>
    </row>
    <row r="26" spans="2:10" ht="14.3" customHeight="1">
      <c r="B26" s="6">
        <v>23</v>
      </c>
      <c r="C26" s="7" t="s">
        <v>56</v>
      </c>
      <c r="D26" s="8">
        <v>42713</v>
      </c>
      <c r="E26" s="8">
        <v>42717</v>
      </c>
      <c r="F26" s="7" t="s">
        <v>57</v>
      </c>
      <c r="G26" s="7" t="s">
        <v>59</v>
      </c>
      <c r="H26" s="7">
        <v>60.339999999999996</v>
      </c>
      <c r="I26" s="9">
        <f t="shared" si="0"/>
        <v>12</v>
      </c>
      <c r="J26">
        <f t="shared" si="1"/>
        <v>4</v>
      </c>
    </row>
    <row r="27" spans="2:10" ht="14.3" customHeight="1">
      <c r="B27" s="6">
        <v>24</v>
      </c>
      <c r="C27" s="7" t="s">
        <v>60</v>
      </c>
      <c r="D27" s="8">
        <v>42932</v>
      </c>
      <c r="E27" s="8">
        <v>42934</v>
      </c>
      <c r="F27" s="7" t="s">
        <v>61</v>
      </c>
      <c r="G27" s="7" t="s">
        <v>62</v>
      </c>
      <c r="H27" s="7">
        <v>71.371999999999986</v>
      </c>
      <c r="I27" s="9">
        <f t="shared" si="0"/>
        <v>7</v>
      </c>
      <c r="J27">
        <f t="shared" si="1"/>
        <v>2</v>
      </c>
    </row>
    <row r="28" spans="2:10" ht="14.3" customHeight="1">
      <c r="B28" s="6">
        <v>25</v>
      </c>
      <c r="C28" s="7" t="s">
        <v>63</v>
      </c>
      <c r="D28" s="8">
        <v>42272</v>
      </c>
      <c r="E28" s="8">
        <v>42277</v>
      </c>
      <c r="F28" s="7" t="s">
        <v>64</v>
      </c>
      <c r="G28" s="7" t="s">
        <v>24</v>
      </c>
      <c r="H28" s="7">
        <v>1044.6299999999999</v>
      </c>
      <c r="I28" s="9">
        <f t="shared" si="0"/>
        <v>9</v>
      </c>
      <c r="J28">
        <f t="shared" si="1"/>
        <v>5</v>
      </c>
    </row>
    <row r="29" spans="2:10" ht="14.3" customHeight="1">
      <c r="B29" s="6">
        <v>26</v>
      </c>
      <c r="C29" s="7" t="s">
        <v>65</v>
      </c>
      <c r="D29" s="8">
        <v>42385</v>
      </c>
      <c r="E29" s="8">
        <v>42389</v>
      </c>
      <c r="F29" s="7" t="s">
        <v>66</v>
      </c>
      <c r="G29" s="7" t="s">
        <v>67</v>
      </c>
      <c r="H29" s="7">
        <v>11.648000000000001</v>
      </c>
      <c r="I29" s="9">
        <f t="shared" si="0"/>
        <v>1</v>
      </c>
      <c r="J29">
        <f t="shared" si="1"/>
        <v>4</v>
      </c>
    </row>
    <row r="30" spans="2:10" ht="14.3" customHeight="1">
      <c r="B30" s="6">
        <v>27</v>
      </c>
      <c r="C30" s="7" t="s">
        <v>65</v>
      </c>
      <c r="D30" s="8">
        <v>42385</v>
      </c>
      <c r="E30" s="8">
        <v>42389</v>
      </c>
      <c r="F30" s="7" t="s">
        <v>66</v>
      </c>
      <c r="G30" s="7" t="s">
        <v>68</v>
      </c>
      <c r="H30" s="7">
        <v>90.570000000000007</v>
      </c>
      <c r="I30" s="9">
        <f t="shared" si="0"/>
        <v>1</v>
      </c>
      <c r="J30">
        <f t="shared" si="1"/>
        <v>4</v>
      </c>
    </row>
    <row r="31" spans="2:10" ht="14.3" customHeight="1">
      <c r="B31" s="6">
        <v>28</v>
      </c>
      <c r="C31" s="7" t="s">
        <v>69</v>
      </c>
      <c r="D31" s="8">
        <v>42264</v>
      </c>
      <c r="E31" s="8">
        <v>42268</v>
      </c>
      <c r="F31" s="7" t="s">
        <v>70</v>
      </c>
      <c r="G31" s="7" t="s">
        <v>71</v>
      </c>
      <c r="H31" s="7">
        <v>3083.4300000000003</v>
      </c>
      <c r="I31" s="9">
        <f t="shared" si="0"/>
        <v>9</v>
      </c>
      <c r="J31">
        <f t="shared" si="1"/>
        <v>4</v>
      </c>
    </row>
    <row r="32" spans="2:10" ht="14.3" customHeight="1">
      <c r="B32" s="6">
        <v>29</v>
      </c>
      <c r="C32" s="7" t="s">
        <v>69</v>
      </c>
      <c r="D32" s="8">
        <v>42264</v>
      </c>
      <c r="E32" s="8">
        <v>42268</v>
      </c>
      <c r="F32" s="7" t="s">
        <v>70</v>
      </c>
      <c r="G32" s="7" t="s">
        <v>72</v>
      </c>
      <c r="H32" s="7">
        <v>9.6180000000000021</v>
      </c>
      <c r="I32" s="9">
        <f t="shared" si="0"/>
        <v>9</v>
      </c>
      <c r="J32">
        <f t="shared" si="1"/>
        <v>4</v>
      </c>
    </row>
    <row r="33" spans="2:10" ht="14.3" customHeight="1">
      <c r="B33" s="6">
        <v>30</v>
      </c>
      <c r="C33" s="7" t="s">
        <v>69</v>
      </c>
      <c r="D33" s="8">
        <v>42264</v>
      </c>
      <c r="E33" s="8">
        <v>42268</v>
      </c>
      <c r="F33" s="7" t="s">
        <v>70</v>
      </c>
      <c r="G33" s="7" t="s">
        <v>73</v>
      </c>
      <c r="H33" s="7">
        <v>124.20000000000002</v>
      </c>
      <c r="I33" s="9">
        <f t="shared" si="0"/>
        <v>9</v>
      </c>
      <c r="J33">
        <f t="shared" si="1"/>
        <v>4</v>
      </c>
    </row>
    <row r="34" spans="2:10" ht="14.3" customHeight="1">
      <c r="B34" s="6">
        <v>31</v>
      </c>
      <c r="C34" s="7" t="s">
        <v>69</v>
      </c>
      <c r="D34" s="8">
        <v>42264</v>
      </c>
      <c r="E34" s="8">
        <v>42268</v>
      </c>
      <c r="F34" s="7" t="s">
        <v>70</v>
      </c>
      <c r="G34" s="7" t="s">
        <v>74</v>
      </c>
      <c r="H34" s="7">
        <v>3.2640000000000002</v>
      </c>
      <c r="I34" s="9">
        <f t="shared" si="0"/>
        <v>9</v>
      </c>
      <c r="J34">
        <f t="shared" si="1"/>
        <v>4</v>
      </c>
    </row>
    <row r="35" spans="2:10" ht="14.3" customHeight="1">
      <c r="B35" s="6">
        <v>32</v>
      </c>
      <c r="C35" s="7" t="s">
        <v>69</v>
      </c>
      <c r="D35" s="8">
        <v>42264</v>
      </c>
      <c r="E35" s="8">
        <v>42268</v>
      </c>
      <c r="F35" s="7" t="s">
        <v>70</v>
      </c>
      <c r="G35" s="7" t="s">
        <v>75</v>
      </c>
      <c r="H35" s="7">
        <v>86.304000000000002</v>
      </c>
      <c r="I35" s="9">
        <f t="shared" si="0"/>
        <v>9</v>
      </c>
      <c r="J35">
        <f t="shared" si="1"/>
        <v>4</v>
      </c>
    </row>
    <row r="36" spans="2:10" ht="14.3" customHeight="1">
      <c r="B36" s="6">
        <v>33</v>
      </c>
      <c r="C36" s="7" t="s">
        <v>69</v>
      </c>
      <c r="D36" s="8">
        <v>42264</v>
      </c>
      <c r="E36" s="8">
        <v>42268</v>
      </c>
      <c r="F36" s="7" t="s">
        <v>70</v>
      </c>
      <c r="G36" s="7" t="s">
        <v>76</v>
      </c>
      <c r="H36" s="7">
        <v>6.8580000000000014</v>
      </c>
      <c r="I36" s="9">
        <f t="shared" si="0"/>
        <v>9</v>
      </c>
      <c r="J36">
        <f t="shared" si="1"/>
        <v>4</v>
      </c>
    </row>
    <row r="37" spans="2:10" ht="14.3" customHeight="1">
      <c r="B37" s="6">
        <v>34</v>
      </c>
      <c r="C37" s="7" t="s">
        <v>69</v>
      </c>
      <c r="D37" s="8">
        <v>42264</v>
      </c>
      <c r="E37" s="8">
        <v>42268</v>
      </c>
      <c r="F37" s="7" t="s">
        <v>70</v>
      </c>
      <c r="G37" s="7" t="s">
        <v>77</v>
      </c>
      <c r="H37" s="7">
        <v>15.76</v>
      </c>
      <c r="I37" s="9">
        <f t="shared" si="0"/>
        <v>9</v>
      </c>
      <c r="J37">
        <f t="shared" si="1"/>
        <v>4</v>
      </c>
    </row>
    <row r="38" spans="2:10" ht="14.3" customHeight="1">
      <c r="B38" s="6">
        <v>35</v>
      </c>
      <c r="C38" s="7" t="s">
        <v>78</v>
      </c>
      <c r="D38" s="8">
        <v>43027</v>
      </c>
      <c r="E38" s="8">
        <v>43031</v>
      </c>
      <c r="F38" s="7" t="s">
        <v>79</v>
      </c>
      <c r="G38" s="7" t="s">
        <v>80</v>
      </c>
      <c r="H38" s="7">
        <v>29.472000000000001</v>
      </c>
      <c r="I38" s="9">
        <f t="shared" si="0"/>
        <v>10</v>
      </c>
      <c r="J38">
        <f t="shared" si="1"/>
        <v>4</v>
      </c>
    </row>
    <row r="39" spans="2:10" ht="14.3" customHeight="1">
      <c r="B39" s="6">
        <v>36</v>
      </c>
      <c r="C39" s="7" t="s">
        <v>81</v>
      </c>
      <c r="D39" s="8">
        <v>42712</v>
      </c>
      <c r="E39" s="8">
        <v>42714</v>
      </c>
      <c r="F39" s="7" t="s">
        <v>82</v>
      </c>
      <c r="G39" s="7" t="s">
        <v>83</v>
      </c>
      <c r="H39" s="7">
        <v>1097.5440000000003</v>
      </c>
      <c r="I39" s="9">
        <f t="shared" si="0"/>
        <v>12</v>
      </c>
      <c r="J39">
        <f t="shared" si="1"/>
        <v>2</v>
      </c>
    </row>
    <row r="40" spans="2:10" ht="14.3" customHeight="1">
      <c r="B40" s="6">
        <v>37</v>
      </c>
      <c r="C40" s="7" t="s">
        <v>81</v>
      </c>
      <c r="D40" s="8">
        <v>42712</v>
      </c>
      <c r="E40" s="8">
        <v>42714</v>
      </c>
      <c r="F40" s="7" t="s">
        <v>82</v>
      </c>
      <c r="G40" s="7" t="s">
        <v>84</v>
      </c>
      <c r="H40" s="7">
        <v>190.92</v>
      </c>
      <c r="I40" s="9">
        <f t="shared" si="0"/>
        <v>12</v>
      </c>
      <c r="J40">
        <f t="shared" si="1"/>
        <v>2</v>
      </c>
    </row>
    <row r="41" spans="2:10" ht="14.3" customHeight="1">
      <c r="B41" s="6">
        <v>38</v>
      </c>
      <c r="C41" s="7" t="s">
        <v>85</v>
      </c>
      <c r="D41" s="8">
        <v>42365</v>
      </c>
      <c r="E41" s="8">
        <v>42369</v>
      </c>
      <c r="F41" s="7" t="s">
        <v>86</v>
      </c>
      <c r="G41" s="7" t="s">
        <v>87</v>
      </c>
      <c r="H41" s="7">
        <v>113.328</v>
      </c>
      <c r="I41" s="9">
        <f t="shared" si="0"/>
        <v>12</v>
      </c>
      <c r="J41">
        <f t="shared" si="1"/>
        <v>4</v>
      </c>
    </row>
    <row r="42" spans="2:10" ht="14.3" customHeight="1">
      <c r="B42" s="6">
        <v>39</v>
      </c>
      <c r="C42" s="7" t="s">
        <v>85</v>
      </c>
      <c r="D42" s="8">
        <v>42365</v>
      </c>
      <c r="E42" s="8">
        <v>42369</v>
      </c>
      <c r="F42" s="7" t="s">
        <v>86</v>
      </c>
      <c r="G42" s="7" t="s">
        <v>88</v>
      </c>
      <c r="H42" s="7">
        <v>532.39919999999995</v>
      </c>
      <c r="I42" s="9">
        <f t="shared" si="0"/>
        <v>12</v>
      </c>
      <c r="J42">
        <f t="shared" si="1"/>
        <v>4</v>
      </c>
    </row>
    <row r="43" spans="2:10" ht="14.3" customHeight="1">
      <c r="B43" s="6">
        <v>40</v>
      </c>
      <c r="C43" s="7" t="s">
        <v>85</v>
      </c>
      <c r="D43" s="8">
        <v>42365</v>
      </c>
      <c r="E43" s="8">
        <v>42369</v>
      </c>
      <c r="F43" s="7" t="s">
        <v>86</v>
      </c>
      <c r="G43" s="7" t="s">
        <v>89</v>
      </c>
      <c r="H43" s="7">
        <v>212.05799999999999</v>
      </c>
      <c r="I43" s="9">
        <f t="shared" si="0"/>
        <v>12</v>
      </c>
      <c r="J43">
        <f t="shared" si="1"/>
        <v>4</v>
      </c>
    </row>
    <row r="44" spans="2:10" ht="14.3" customHeight="1">
      <c r="B44" s="6">
        <v>41</v>
      </c>
      <c r="C44" s="7" t="s">
        <v>85</v>
      </c>
      <c r="D44" s="8">
        <v>42365</v>
      </c>
      <c r="E44" s="8">
        <v>42369</v>
      </c>
      <c r="F44" s="7" t="s">
        <v>86</v>
      </c>
      <c r="G44" s="7" t="s">
        <v>90</v>
      </c>
      <c r="H44" s="7">
        <v>371.16800000000001</v>
      </c>
      <c r="I44" s="9">
        <f t="shared" si="0"/>
        <v>12</v>
      </c>
      <c r="J44">
        <f t="shared" si="1"/>
        <v>4</v>
      </c>
    </row>
    <row r="45" spans="2:10" ht="14.3" customHeight="1">
      <c r="B45" s="6">
        <v>42</v>
      </c>
      <c r="C45" s="7" t="s">
        <v>91</v>
      </c>
      <c r="D45" s="8">
        <v>42988</v>
      </c>
      <c r="E45" s="8">
        <v>42993</v>
      </c>
      <c r="F45" s="7" t="s">
        <v>92</v>
      </c>
      <c r="G45" s="7" t="s">
        <v>93</v>
      </c>
      <c r="H45" s="7">
        <v>147.16800000000001</v>
      </c>
      <c r="I45" s="9">
        <f t="shared" si="0"/>
        <v>9</v>
      </c>
      <c r="J45">
        <f t="shared" si="1"/>
        <v>5</v>
      </c>
    </row>
    <row r="46" spans="2:10" ht="14.3" customHeight="1">
      <c r="B46" s="6">
        <v>43</v>
      </c>
      <c r="C46" s="7" t="s">
        <v>94</v>
      </c>
      <c r="D46" s="8">
        <v>42568</v>
      </c>
      <c r="E46" s="8">
        <v>42573</v>
      </c>
      <c r="F46" s="7" t="s">
        <v>95</v>
      </c>
      <c r="G46" s="7" t="s">
        <v>96</v>
      </c>
      <c r="H46" s="7">
        <v>77.88</v>
      </c>
      <c r="I46" s="9">
        <f t="shared" si="0"/>
        <v>7</v>
      </c>
      <c r="J46">
        <f t="shared" si="1"/>
        <v>5</v>
      </c>
    </row>
    <row r="47" spans="2:10" ht="14.3" customHeight="1">
      <c r="B47" s="6">
        <v>44</v>
      </c>
      <c r="C47" s="7" t="s">
        <v>97</v>
      </c>
      <c r="D47" s="8">
        <v>42997</v>
      </c>
      <c r="E47" s="8">
        <v>43001</v>
      </c>
      <c r="F47" s="7" t="s">
        <v>98</v>
      </c>
      <c r="G47" s="7" t="s">
        <v>99</v>
      </c>
      <c r="H47" s="7">
        <v>95.616</v>
      </c>
      <c r="I47" s="9">
        <f t="shared" si="0"/>
        <v>9</v>
      </c>
      <c r="J47">
        <f t="shared" si="1"/>
        <v>4</v>
      </c>
    </row>
    <row r="48" spans="2:10" ht="14.3" customHeight="1">
      <c r="B48" s="6">
        <v>45</v>
      </c>
      <c r="C48" s="7" t="s">
        <v>100</v>
      </c>
      <c r="D48" s="8">
        <v>42440</v>
      </c>
      <c r="E48" s="8">
        <v>42442</v>
      </c>
      <c r="F48" s="7" t="s">
        <v>101</v>
      </c>
      <c r="G48" s="7" t="s">
        <v>102</v>
      </c>
      <c r="H48" s="7">
        <v>45.98</v>
      </c>
      <c r="I48" s="9">
        <f t="shared" si="0"/>
        <v>3</v>
      </c>
      <c r="J48">
        <f t="shared" si="1"/>
        <v>2</v>
      </c>
    </row>
    <row r="49" spans="2:10" ht="14.3" customHeight="1">
      <c r="B49" s="6">
        <v>46</v>
      </c>
      <c r="C49" s="7" t="s">
        <v>100</v>
      </c>
      <c r="D49" s="8">
        <v>42440</v>
      </c>
      <c r="E49" s="8">
        <v>42442</v>
      </c>
      <c r="F49" s="7" t="s">
        <v>101</v>
      </c>
      <c r="G49" s="7" t="s">
        <v>103</v>
      </c>
      <c r="H49" s="7">
        <v>17.46</v>
      </c>
      <c r="I49" s="9">
        <f t="shared" si="0"/>
        <v>3</v>
      </c>
      <c r="J49">
        <f t="shared" si="1"/>
        <v>2</v>
      </c>
    </row>
    <row r="50" spans="2:10" ht="14.3" customHeight="1">
      <c r="B50" s="6">
        <v>47</v>
      </c>
      <c r="C50" s="7" t="s">
        <v>104</v>
      </c>
      <c r="D50" s="8">
        <v>41932</v>
      </c>
      <c r="E50" s="8">
        <v>41937</v>
      </c>
      <c r="F50" s="7" t="s">
        <v>105</v>
      </c>
      <c r="G50" s="7" t="s">
        <v>106</v>
      </c>
      <c r="H50" s="7">
        <v>211.96</v>
      </c>
      <c r="I50" s="9">
        <f t="shared" si="0"/>
        <v>10</v>
      </c>
      <c r="J50">
        <f t="shared" si="1"/>
        <v>5</v>
      </c>
    </row>
    <row r="51" spans="2:10" ht="14.3" customHeight="1">
      <c r="B51" s="6">
        <v>48</v>
      </c>
      <c r="C51" s="7" t="s">
        <v>107</v>
      </c>
      <c r="D51" s="8">
        <v>42541</v>
      </c>
      <c r="E51" s="8">
        <v>42546</v>
      </c>
      <c r="F51" s="7" t="s">
        <v>108</v>
      </c>
      <c r="G51" s="7" t="s">
        <v>109</v>
      </c>
      <c r="H51" s="7">
        <v>45</v>
      </c>
      <c r="I51" s="9">
        <f t="shared" si="0"/>
        <v>6</v>
      </c>
      <c r="J51">
        <f t="shared" si="1"/>
        <v>5</v>
      </c>
    </row>
    <row r="52" spans="2:10" ht="14.3" customHeight="1">
      <c r="B52" s="6">
        <v>49</v>
      </c>
      <c r="C52" s="7" t="s">
        <v>107</v>
      </c>
      <c r="D52" s="8">
        <v>42541</v>
      </c>
      <c r="E52" s="8">
        <v>42546</v>
      </c>
      <c r="F52" s="7" t="s">
        <v>108</v>
      </c>
      <c r="G52" s="7" t="s">
        <v>110</v>
      </c>
      <c r="H52" s="7">
        <v>21.8</v>
      </c>
      <c r="I52" s="9">
        <f t="shared" si="0"/>
        <v>6</v>
      </c>
      <c r="J52">
        <f t="shared" si="1"/>
        <v>5</v>
      </c>
    </row>
    <row r="53" spans="2:10" ht="14.3" customHeight="1">
      <c r="B53" s="6">
        <v>50</v>
      </c>
      <c r="C53" s="7" t="s">
        <v>111</v>
      </c>
      <c r="D53" s="8">
        <v>42112</v>
      </c>
      <c r="E53" s="8">
        <v>42116</v>
      </c>
      <c r="F53" s="7" t="s">
        <v>112</v>
      </c>
      <c r="G53" s="7" t="s">
        <v>113</v>
      </c>
      <c r="H53" s="7">
        <v>38.22</v>
      </c>
      <c r="I53" s="9">
        <f t="shared" si="0"/>
        <v>4</v>
      </c>
      <c r="J53">
        <f t="shared" si="1"/>
        <v>4</v>
      </c>
    </row>
    <row r="54" spans="2:10" ht="14.3" customHeight="1">
      <c r="B54" s="6">
        <v>51</v>
      </c>
      <c r="C54" s="7" t="s">
        <v>111</v>
      </c>
      <c r="D54" s="8">
        <v>42112</v>
      </c>
      <c r="E54" s="8">
        <v>42116</v>
      </c>
      <c r="F54" s="7" t="s">
        <v>112</v>
      </c>
      <c r="G54" s="7" t="s">
        <v>114</v>
      </c>
      <c r="H54" s="7">
        <v>75.179999999999993</v>
      </c>
      <c r="I54" s="9">
        <f t="shared" si="0"/>
        <v>4</v>
      </c>
      <c r="J54">
        <f t="shared" si="1"/>
        <v>4</v>
      </c>
    </row>
    <row r="55" spans="2:10" ht="14.3" customHeight="1">
      <c r="B55" s="6">
        <v>52</v>
      </c>
      <c r="C55" s="7" t="s">
        <v>111</v>
      </c>
      <c r="D55" s="8">
        <v>42112</v>
      </c>
      <c r="E55" s="8">
        <v>42116</v>
      </c>
      <c r="F55" s="7" t="s">
        <v>112</v>
      </c>
      <c r="G55" s="7" t="s">
        <v>115</v>
      </c>
      <c r="H55" s="7">
        <v>6.16</v>
      </c>
      <c r="I55" s="9">
        <f t="shared" si="0"/>
        <v>4</v>
      </c>
      <c r="J55">
        <f t="shared" si="1"/>
        <v>4</v>
      </c>
    </row>
    <row r="56" spans="2:10" ht="14.3" customHeight="1">
      <c r="B56" s="6">
        <v>53</v>
      </c>
      <c r="C56" s="7" t="s">
        <v>111</v>
      </c>
      <c r="D56" s="8">
        <v>42112</v>
      </c>
      <c r="E56" s="8">
        <v>42116</v>
      </c>
      <c r="F56" s="7" t="s">
        <v>112</v>
      </c>
      <c r="G56" s="7" t="s">
        <v>116</v>
      </c>
      <c r="H56" s="7">
        <v>89.99</v>
      </c>
      <c r="I56" s="9">
        <f t="shared" si="0"/>
        <v>4</v>
      </c>
      <c r="J56">
        <f t="shared" si="1"/>
        <v>4</v>
      </c>
    </row>
    <row r="57" spans="2:10" ht="14.3" customHeight="1">
      <c r="B57" s="6">
        <v>54</v>
      </c>
      <c r="C57" s="7" t="s">
        <v>117</v>
      </c>
      <c r="D57" s="8">
        <v>42715</v>
      </c>
      <c r="E57" s="8">
        <v>42721</v>
      </c>
      <c r="F57" s="7" t="s">
        <v>118</v>
      </c>
      <c r="G57" s="7" t="s">
        <v>119</v>
      </c>
      <c r="H57" s="7">
        <v>15.260000000000002</v>
      </c>
      <c r="I57" s="9">
        <f t="shared" si="0"/>
        <v>12</v>
      </c>
      <c r="J57">
        <f t="shared" si="1"/>
        <v>6</v>
      </c>
    </row>
    <row r="58" spans="2:10" ht="14.3" customHeight="1">
      <c r="B58" s="6">
        <v>55</v>
      </c>
      <c r="C58" s="7" t="s">
        <v>117</v>
      </c>
      <c r="D58" s="8">
        <v>42715</v>
      </c>
      <c r="E58" s="8">
        <v>42721</v>
      </c>
      <c r="F58" s="7" t="s">
        <v>118</v>
      </c>
      <c r="G58" s="7" t="s">
        <v>120</v>
      </c>
      <c r="H58" s="7">
        <v>1029.95</v>
      </c>
      <c r="I58" s="9">
        <f t="shared" si="0"/>
        <v>12</v>
      </c>
      <c r="J58">
        <f t="shared" si="1"/>
        <v>6</v>
      </c>
    </row>
    <row r="59" spans="2:10" ht="14.3" customHeight="1">
      <c r="B59" s="6">
        <v>56</v>
      </c>
      <c r="C59" s="7" t="s">
        <v>121</v>
      </c>
      <c r="D59" s="8">
        <v>42538</v>
      </c>
      <c r="E59" s="8">
        <v>42539</v>
      </c>
      <c r="F59" s="7" t="s">
        <v>122</v>
      </c>
      <c r="G59" s="7" t="s">
        <v>123</v>
      </c>
      <c r="H59" s="7">
        <v>208.56</v>
      </c>
      <c r="I59" s="9">
        <f t="shared" si="0"/>
        <v>6</v>
      </c>
      <c r="J59">
        <f t="shared" si="1"/>
        <v>1</v>
      </c>
    </row>
    <row r="60" spans="2:10" ht="14.3" customHeight="1">
      <c r="B60" s="6">
        <v>57</v>
      </c>
      <c r="C60" s="7" t="s">
        <v>121</v>
      </c>
      <c r="D60" s="8">
        <v>42538</v>
      </c>
      <c r="E60" s="8">
        <v>42539</v>
      </c>
      <c r="F60" s="7" t="s">
        <v>122</v>
      </c>
      <c r="G60" s="7" t="s">
        <v>124</v>
      </c>
      <c r="H60" s="7">
        <v>32.400000000000006</v>
      </c>
      <c r="I60" s="9">
        <f t="shared" si="0"/>
        <v>6</v>
      </c>
      <c r="J60">
        <f t="shared" si="1"/>
        <v>1</v>
      </c>
    </row>
    <row r="61" spans="2:10" ht="14.3" customHeight="1">
      <c r="B61" s="6">
        <v>58</v>
      </c>
      <c r="C61" s="7" t="s">
        <v>121</v>
      </c>
      <c r="D61" s="8">
        <v>42538</v>
      </c>
      <c r="E61" s="8">
        <v>42539</v>
      </c>
      <c r="F61" s="7" t="s">
        <v>122</v>
      </c>
      <c r="G61" s="7" t="s">
        <v>125</v>
      </c>
      <c r="H61" s="7">
        <v>319.41000000000003</v>
      </c>
      <c r="I61" s="9">
        <f t="shared" si="0"/>
        <v>6</v>
      </c>
      <c r="J61">
        <f t="shared" si="1"/>
        <v>1</v>
      </c>
    </row>
    <row r="62" spans="2:10" ht="14.3" customHeight="1">
      <c r="B62" s="6">
        <v>59</v>
      </c>
      <c r="C62" s="7" t="s">
        <v>121</v>
      </c>
      <c r="D62" s="8">
        <v>42538</v>
      </c>
      <c r="E62" s="8">
        <v>42539</v>
      </c>
      <c r="F62" s="7" t="s">
        <v>122</v>
      </c>
      <c r="G62" s="7" t="s">
        <v>126</v>
      </c>
      <c r="H62" s="7">
        <v>14.56</v>
      </c>
      <c r="I62" s="9">
        <f t="shared" si="0"/>
        <v>6</v>
      </c>
      <c r="J62">
        <f t="shared" si="1"/>
        <v>1</v>
      </c>
    </row>
    <row r="63" spans="2:10" ht="14.3" customHeight="1">
      <c r="B63" s="6">
        <v>60</v>
      </c>
      <c r="C63" s="7" t="s">
        <v>121</v>
      </c>
      <c r="D63" s="8">
        <v>42538</v>
      </c>
      <c r="E63" s="8">
        <v>42539</v>
      </c>
      <c r="F63" s="7" t="s">
        <v>122</v>
      </c>
      <c r="G63" s="7" t="s">
        <v>109</v>
      </c>
      <c r="H63" s="7">
        <v>30</v>
      </c>
      <c r="I63" s="9">
        <f t="shared" si="0"/>
        <v>6</v>
      </c>
      <c r="J63">
        <f t="shared" si="1"/>
        <v>1</v>
      </c>
    </row>
    <row r="64" spans="2:10" ht="14.3" customHeight="1">
      <c r="B64" s="6">
        <v>61</v>
      </c>
      <c r="C64" s="7" t="s">
        <v>121</v>
      </c>
      <c r="D64" s="8">
        <v>42538</v>
      </c>
      <c r="E64" s="8">
        <v>42539</v>
      </c>
      <c r="F64" s="7" t="s">
        <v>122</v>
      </c>
      <c r="G64" s="7" t="s">
        <v>127</v>
      </c>
      <c r="H64" s="7">
        <v>48.480000000000004</v>
      </c>
      <c r="I64" s="9">
        <f t="shared" si="0"/>
        <v>6</v>
      </c>
      <c r="J64">
        <f t="shared" si="1"/>
        <v>1</v>
      </c>
    </row>
    <row r="65" spans="2:10" ht="14.3" customHeight="1">
      <c r="B65" s="6">
        <v>62</v>
      </c>
      <c r="C65" s="7" t="s">
        <v>121</v>
      </c>
      <c r="D65" s="8">
        <v>42538</v>
      </c>
      <c r="E65" s="8">
        <v>42539</v>
      </c>
      <c r="F65" s="7" t="s">
        <v>122</v>
      </c>
      <c r="G65" s="7" t="s">
        <v>128</v>
      </c>
      <c r="H65" s="7">
        <v>1.68</v>
      </c>
      <c r="I65" s="9">
        <f t="shared" si="0"/>
        <v>6</v>
      </c>
      <c r="J65">
        <f t="shared" si="1"/>
        <v>1</v>
      </c>
    </row>
    <row r="66" spans="2:10" ht="14.3" customHeight="1">
      <c r="B66" s="6">
        <v>63</v>
      </c>
      <c r="C66" s="7" t="s">
        <v>129</v>
      </c>
      <c r="D66" s="8">
        <v>42332</v>
      </c>
      <c r="E66" s="8">
        <v>42338</v>
      </c>
      <c r="F66" s="7" t="s">
        <v>130</v>
      </c>
      <c r="G66" s="7" t="s">
        <v>131</v>
      </c>
      <c r="H66" s="7">
        <v>13.98</v>
      </c>
      <c r="I66" s="9">
        <f t="shared" si="0"/>
        <v>11</v>
      </c>
      <c r="J66">
        <f t="shared" si="1"/>
        <v>6</v>
      </c>
    </row>
    <row r="67" spans="2:10" ht="14.3" customHeight="1">
      <c r="B67" s="6">
        <v>64</v>
      </c>
      <c r="C67" s="7" t="s">
        <v>129</v>
      </c>
      <c r="D67" s="8">
        <v>42332</v>
      </c>
      <c r="E67" s="8">
        <v>42338</v>
      </c>
      <c r="F67" s="7" t="s">
        <v>130</v>
      </c>
      <c r="G67" s="7" t="s">
        <v>132</v>
      </c>
      <c r="H67" s="7">
        <v>25.824000000000002</v>
      </c>
      <c r="I67" s="9">
        <f t="shared" si="0"/>
        <v>11</v>
      </c>
      <c r="J67">
        <f t="shared" si="1"/>
        <v>6</v>
      </c>
    </row>
    <row r="68" spans="2:10" ht="14.3" customHeight="1">
      <c r="B68" s="6">
        <v>65</v>
      </c>
      <c r="C68" s="7" t="s">
        <v>129</v>
      </c>
      <c r="D68" s="8">
        <v>42332</v>
      </c>
      <c r="E68" s="8">
        <v>42338</v>
      </c>
      <c r="F68" s="7" t="s">
        <v>130</v>
      </c>
      <c r="G68" s="7" t="s">
        <v>133</v>
      </c>
      <c r="H68" s="7">
        <v>146.72999999999999</v>
      </c>
      <c r="I68" s="9">
        <f t="shared" si="0"/>
        <v>11</v>
      </c>
      <c r="J68">
        <f t="shared" si="1"/>
        <v>6</v>
      </c>
    </row>
    <row r="69" spans="2:10" ht="14.3" customHeight="1">
      <c r="B69" s="6">
        <v>66</v>
      </c>
      <c r="C69" s="7" t="s">
        <v>129</v>
      </c>
      <c r="D69" s="8">
        <v>42332</v>
      </c>
      <c r="E69" s="8">
        <v>42338</v>
      </c>
      <c r="F69" s="7" t="s">
        <v>130</v>
      </c>
      <c r="G69" s="7" t="s">
        <v>134</v>
      </c>
      <c r="H69" s="7">
        <v>79.760000000000005</v>
      </c>
      <c r="I69" s="9">
        <f t="shared" ref="I69:I132" si="3">MONTH(D69)</f>
        <v>11</v>
      </c>
      <c r="J69">
        <f t="shared" ref="J69:J132" si="4">DATEDIF(D69,E69,"D")</f>
        <v>6</v>
      </c>
    </row>
    <row r="70" spans="2:10" ht="14.3" customHeight="1">
      <c r="B70" s="6">
        <v>67</v>
      </c>
      <c r="C70" s="7" t="s">
        <v>135</v>
      </c>
      <c r="D70" s="8">
        <v>42124</v>
      </c>
      <c r="E70" s="8">
        <v>42129</v>
      </c>
      <c r="F70" s="7" t="s">
        <v>136</v>
      </c>
      <c r="G70" s="7" t="s">
        <v>137</v>
      </c>
      <c r="H70" s="7">
        <v>213.11499999999998</v>
      </c>
      <c r="I70" s="9">
        <f t="shared" si="3"/>
        <v>4</v>
      </c>
      <c r="J70">
        <f t="shared" si="4"/>
        <v>5</v>
      </c>
    </row>
    <row r="71" spans="2:10" ht="14.3" customHeight="1">
      <c r="B71" s="6">
        <v>68</v>
      </c>
      <c r="C71" s="7" t="s">
        <v>138</v>
      </c>
      <c r="D71" s="8">
        <v>41978</v>
      </c>
      <c r="E71" s="8">
        <v>41983</v>
      </c>
      <c r="F71" s="7" t="s">
        <v>139</v>
      </c>
      <c r="G71" s="7" t="s">
        <v>140</v>
      </c>
      <c r="H71" s="7">
        <v>1113.0240000000001</v>
      </c>
      <c r="I71" s="9">
        <f t="shared" si="3"/>
        <v>12</v>
      </c>
      <c r="J71">
        <f t="shared" si="4"/>
        <v>5</v>
      </c>
    </row>
    <row r="72" spans="2:10" ht="14.3" customHeight="1">
      <c r="B72" s="6">
        <v>69</v>
      </c>
      <c r="C72" s="7" t="s">
        <v>138</v>
      </c>
      <c r="D72" s="8">
        <v>41978</v>
      </c>
      <c r="E72" s="8">
        <v>41983</v>
      </c>
      <c r="F72" s="7" t="s">
        <v>139</v>
      </c>
      <c r="G72" s="7" t="s">
        <v>141</v>
      </c>
      <c r="H72" s="7">
        <v>167.96800000000002</v>
      </c>
      <c r="I72" s="9">
        <f t="shared" si="3"/>
        <v>12</v>
      </c>
      <c r="J72">
        <f t="shared" si="4"/>
        <v>5</v>
      </c>
    </row>
    <row r="73" spans="2:10" ht="14.3" customHeight="1">
      <c r="B73" s="6">
        <v>70</v>
      </c>
      <c r="C73" s="7" t="s">
        <v>142</v>
      </c>
      <c r="D73" s="8">
        <v>42525</v>
      </c>
      <c r="E73" s="8">
        <v>42527</v>
      </c>
      <c r="F73" s="7" t="s">
        <v>143</v>
      </c>
      <c r="G73" s="7" t="s">
        <v>144</v>
      </c>
      <c r="H73" s="7">
        <v>75.88</v>
      </c>
      <c r="I73" s="9">
        <f t="shared" si="3"/>
        <v>6</v>
      </c>
      <c r="J73">
        <f t="shared" si="4"/>
        <v>2</v>
      </c>
    </row>
    <row r="74" spans="2:10" ht="14.3" customHeight="1">
      <c r="B74" s="6">
        <v>71</v>
      </c>
      <c r="C74" s="7" t="s">
        <v>145</v>
      </c>
      <c r="D74" s="8">
        <v>42631</v>
      </c>
      <c r="E74" s="8">
        <v>42636</v>
      </c>
      <c r="F74" s="7" t="s">
        <v>146</v>
      </c>
      <c r="G74" s="7" t="s">
        <v>147</v>
      </c>
      <c r="H74" s="7">
        <v>4.6159999999999997</v>
      </c>
      <c r="I74" s="9">
        <f t="shared" si="3"/>
        <v>9</v>
      </c>
      <c r="J74">
        <f t="shared" si="4"/>
        <v>5</v>
      </c>
    </row>
    <row r="75" spans="2:10" ht="14.3" customHeight="1">
      <c r="B75" s="6">
        <v>72</v>
      </c>
      <c r="C75" s="7" t="s">
        <v>148</v>
      </c>
      <c r="D75" s="8">
        <v>42992</v>
      </c>
      <c r="E75" s="8">
        <v>42995</v>
      </c>
      <c r="F75" s="7" t="s">
        <v>70</v>
      </c>
      <c r="G75" s="7" t="s">
        <v>149</v>
      </c>
      <c r="H75" s="7">
        <v>19.049999999999997</v>
      </c>
      <c r="I75" s="9">
        <f t="shared" si="3"/>
        <v>9</v>
      </c>
      <c r="J75">
        <f t="shared" si="4"/>
        <v>3</v>
      </c>
    </row>
    <row r="76" spans="2:10" ht="14.3" customHeight="1">
      <c r="B76" s="6">
        <v>73</v>
      </c>
      <c r="C76" s="7" t="s">
        <v>150</v>
      </c>
      <c r="D76" s="8">
        <v>42120</v>
      </c>
      <c r="E76" s="8">
        <v>42126</v>
      </c>
      <c r="F76" s="7" t="s">
        <v>151</v>
      </c>
      <c r="G76" s="7" t="s">
        <v>152</v>
      </c>
      <c r="H76" s="7">
        <v>831.93600000000015</v>
      </c>
      <c r="I76" s="9">
        <f t="shared" si="3"/>
        <v>4</v>
      </c>
      <c r="J76">
        <f t="shared" si="4"/>
        <v>6</v>
      </c>
    </row>
    <row r="77" spans="2:10" ht="14.3" customHeight="1">
      <c r="B77" s="6">
        <v>74</v>
      </c>
      <c r="C77" s="7" t="s">
        <v>150</v>
      </c>
      <c r="D77" s="8">
        <v>42120</v>
      </c>
      <c r="E77" s="8">
        <v>42126</v>
      </c>
      <c r="F77" s="7" t="s">
        <v>151</v>
      </c>
      <c r="G77" s="7" t="s">
        <v>153</v>
      </c>
      <c r="H77" s="7">
        <v>97.04</v>
      </c>
      <c r="I77" s="9">
        <f t="shared" si="3"/>
        <v>4</v>
      </c>
      <c r="J77">
        <f t="shared" si="4"/>
        <v>6</v>
      </c>
    </row>
    <row r="78" spans="2:10" ht="14.3" customHeight="1">
      <c r="B78" s="6">
        <v>75</v>
      </c>
      <c r="C78" s="7" t="s">
        <v>150</v>
      </c>
      <c r="D78" s="8">
        <v>42120</v>
      </c>
      <c r="E78" s="8">
        <v>42126</v>
      </c>
      <c r="F78" s="7" t="s">
        <v>151</v>
      </c>
      <c r="G78" s="7" t="s">
        <v>154</v>
      </c>
      <c r="H78" s="7">
        <v>72.784000000000006</v>
      </c>
      <c r="I78" s="9">
        <f t="shared" si="3"/>
        <v>4</v>
      </c>
      <c r="J78">
        <f t="shared" si="4"/>
        <v>6</v>
      </c>
    </row>
    <row r="79" spans="2:10" ht="14.3" customHeight="1">
      <c r="B79" s="6">
        <v>76</v>
      </c>
      <c r="C79" s="7" t="s">
        <v>155</v>
      </c>
      <c r="D79" s="8">
        <v>43078</v>
      </c>
      <c r="E79" s="8">
        <v>43080</v>
      </c>
      <c r="F79" s="7" t="s">
        <v>156</v>
      </c>
      <c r="G79" s="7" t="s">
        <v>157</v>
      </c>
      <c r="H79" s="7">
        <v>1.2479999999999998</v>
      </c>
      <c r="I79" s="9">
        <f t="shared" si="3"/>
        <v>12</v>
      </c>
      <c r="J79">
        <f t="shared" si="4"/>
        <v>2</v>
      </c>
    </row>
    <row r="80" spans="2:10" ht="14.3" customHeight="1">
      <c r="B80" s="6">
        <v>77</v>
      </c>
      <c r="C80" s="7" t="s">
        <v>155</v>
      </c>
      <c r="D80" s="8">
        <v>43078</v>
      </c>
      <c r="E80" s="8">
        <v>43080</v>
      </c>
      <c r="F80" s="7" t="s">
        <v>156</v>
      </c>
      <c r="G80" s="7" t="s">
        <v>158</v>
      </c>
      <c r="H80" s="7">
        <v>9.7080000000000002</v>
      </c>
      <c r="I80" s="9">
        <f t="shared" si="3"/>
        <v>12</v>
      </c>
      <c r="J80">
        <f t="shared" si="4"/>
        <v>2</v>
      </c>
    </row>
    <row r="81" spans="2:10" ht="14.3" customHeight="1">
      <c r="B81" s="6">
        <v>78</v>
      </c>
      <c r="C81" s="7" t="s">
        <v>155</v>
      </c>
      <c r="D81" s="8">
        <v>43078</v>
      </c>
      <c r="E81" s="8">
        <v>43080</v>
      </c>
      <c r="F81" s="7" t="s">
        <v>156</v>
      </c>
      <c r="G81" s="7" t="s">
        <v>159</v>
      </c>
      <c r="H81" s="7">
        <v>27.240000000000002</v>
      </c>
      <c r="I81" s="9">
        <f t="shared" si="3"/>
        <v>12</v>
      </c>
      <c r="J81">
        <f t="shared" si="4"/>
        <v>2</v>
      </c>
    </row>
    <row r="82" spans="2:10" ht="14.3" customHeight="1">
      <c r="B82" s="6">
        <v>79</v>
      </c>
      <c r="C82" s="7" t="s">
        <v>160</v>
      </c>
      <c r="D82" s="8">
        <v>41969</v>
      </c>
      <c r="E82" s="8">
        <v>41974</v>
      </c>
      <c r="F82" s="7" t="s">
        <v>151</v>
      </c>
      <c r="G82" s="7" t="s">
        <v>161</v>
      </c>
      <c r="H82" s="7">
        <v>19.3</v>
      </c>
      <c r="I82" s="9">
        <f t="shared" si="3"/>
        <v>11</v>
      </c>
      <c r="J82">
        <f t="shared" si="4"/>
        <v>5</v>
      </c>
    </row>
    <row r="83" spans="2:10" ht="14.3" customHeight="1">
      <c r="B83" s="6">
        <v>80</v>
      </c>
      <c r="C83" s="7" t="s">
        <v>162</v>
      </c>
      <c r="D83" s="8">
        <v>42533</v>
      </c>
      <c r="E83" s="8">
        <v>42536</v>
      </c>
      <c r="F83" s="7" t="s">
        <v>163</v>
      </c>
      <c r="G83" s="7" t="s">
        <v>164</v>
      </c>
      <c r="H83" s="7">
        <v>208.16</v>
      </c>
      <c r="I83" s="9">
        <f t="shared" si="3"/>
        <v>6</v>
      </c>
      <c r="J83">
        <f t="shared" si="4"/>
        <v>3</v>
      </c>
    </row>
    <row r="84" spans="2:10" ht="14.3" customHeight="1">
      <c r="B84" s="6">
        <v>81</v>
      </c>
      <c r="C84" s="7" t="s">
        <v>162</v>
      </c>
      <c r="D84" s="8">
        <v>42533</v>
      </c>
      <c r="E84" s="8">
        <v>42536</v>
      </c>
      <c r="F84" s="7" t="s">
        <v>163</v>
      </c>
      <c r="G84" s="7" t="s">
        <v>165</v>
      </c>
      <c r="H84" s="7">
        <v>16.740000000000002</v>
      </c>
      <c r="I84" s="9">
        <f t="shared" si="3"/>
        <v>6</v>
      </c>
      <c r="J84">
        <f t="shared" si="4"/>
        <v>3</v>
      </c>
    </row>
    <row r="85" spans="2:10" ht="14.3" customHeight="1">
      <c r="B85" s="6">
        <v>82</v>
      </c>
      <c r="C85" s="7" t="s">
        <v>166</v>
      </c>
      <c r="D85" s="8">
        <v>41924</v>
      </c>
      <c r="E85" s="8">
        <v>41928</v>
      </c>
      <c r="F85" s="7" t="s">
        <v>167</v>
      </c>
      <c r="G85" s="7" t="s">
        <v>168</v>
      </c>
      <c r="H85" s="7">
        <v>14.9</v>
      </c>
      <c r="I85" s="9">
        <f t="shared" si="3"/>
        <v>10</v>
      </c>
      <c r="J85">
        <f t="shared" si="4"/>
        <v>4</v>
      </c>
    </row>
    <row r="86" spans="2:10" ht="14.3" customHeight="1">
      <c r="B86" s="6">
        <v>83</v>
      </c>
      <c r="C86" s="7" t="s">
        <v>166</v>
      </c>
      <c r="D86" s="8">
        <v>41924</v>
      </c>
      <c r="E86" s="8">
        <v>41928</v>
      </c>
      <c r="F86" s="7" t="s">
        <v>167</v>
      </c>
      <c r="G86" s="7" t="s">
        <v>169</v>
      </c>
      <c r="H86" s="7">
        <v>21.39</v>
      </c>
      <c r="I86" s="9">
        <f t="shared" si="3"/>
        <v>10</v>
      </c>
      <c r="J86">
        <f t="shared" si="4"/>
        <v>4</v>
      </c>
    </row>
    <row r="87" spans="2:10" ht="14.3" customHeight="1">
      <c r="B87" s="6">
        <v>84</v>
      </c>
      <c r="C87" s="7" t="s">
        <v>170</v>
      </c>
      <c r="D87" s="8">
        <v>42250</v>
      </c>
      <c r="E87" s="8">
        <v>42255</v>
      </c>
      <c r="F87" s="7" t="s">
        <v>171</v>
      </c>
      <c r="G87" s="7" t="s">
        <v>172</v>
      </c>
      <c r="H87" s="7">
        <v>200.98400000000004</v>
      </c>
      <c r="I87" s="9">
        <f t="shared" si="3"/>
        <v>9</v>
      </c>
      <c r="J87">
        <f t="shared" si="4"/>
        <v>5</v>
      </c>
    </row>
    <row r="88" spans="2:10" ht="14.3" customHeight="1">
      <c r="B88" s="6">
        <v>85</v>
      </c>
      <c r="C88" s="7" t="s">
        <v>173</v>
      </c>
      <c r="D88" s="8">
        <v>43052</v>
      </c>
      <c r="E88" s="8">
        <v>43055</v>
      </c>
      <c r="F88" s="7" t="s">
        <v>174</v>
      </c>
      <c r="G88" s="7" t="s">
        <v>175</v>
      </c>
      <c r="H88" s="7">
        <v>230.376</v>
      </c>
      <c r="I88" s="9">
        <f t="shared" si="3"/>
        <v>11</v>
      </c>
      <c r="J88">
        <f t="shared" si="4"/>
        <v>3</v>
      </c>
    </row>
    <row r="89" spans="2:10" ht="14.3" customHeight="1">
      <c r="B89" s="6">
        <v>86</v>
      </c>
      <c r="C89" s="7" t="s">
        <v>176</v>
      </c>
      <c r="D89" s="8">
        <v>42883</v>
      </c>
      <c r="E89" s="8">
        <v>42885</v>
      </c>
      <c r="F89" s="7" t="s">
        <v>105</v>
      </c>
      <c r="G89" s="7" t="s">
        <v>177</v>
      </c>
      <c r="H89" s="7">
        <v>301.95999999999998</v>
      </c>
      <c r="I89" s="9">
        <f t="shared" si="3"/>
        <v>5</v>
      </c>
      <c r="J89">
        <f t="shared" si="4"/>
        <v>2</v>
      </c>
    </row>
    <row r="90" spans="2:10" ht="14.3" customHeight="1">
      <c r="B90" s="6">
        <v>87</v>
      </c>
      <c r="C90" s="7" t="s">
        <v>178</v>
      </c>
      <c r="D90" s="8">
        <v>43034</v>
      </c>
      <c r="E90" s="8">
        <v>43041</v>
      </c>
      <c r="F90" s="7" t="s">
        <v>179</v>
      </c>
      <c r="G90" s="7" t="s">
        <v>180</v>
      </c>
      <c r="H90" s="7">
        <v>19.989999999999998</v>
      </c>
      <c r="I90" s="9">
        <f t="shared" si="3"/>
        <v>10</v>
      </c>
      <c r="J90">
        <f t="shared" si="4"/>
        <v>7</v>
      </c>
    </row>
    <row r="91" spans="2:10" ht="14.3" customHeight="1">
      <c r="B91" s="6">
        <v>88</v>
      </c>
      <c r="C91" s="7" t="s">
        <v>178</v>
      </c>
      <c r="D91" s="8">
        <v>43034</v>
      </c>
      <c r="E91" s="8">
        <v>43041</v>
      </c>
      <c r="F91" s="7" t="s">
        <v>179</v>
      </c>
      <c r="G91" s="7" t="s">
        <v>181</v>
      </c>
      <c r="H91" s="7">
        <v>6.16</v>
      </c>
      <c r="I91" s="9">
        <f t="shared" si="3"/>
        <v>10</v>
      </c>
      <c r="J91">
        <f t="shared" si="4"/>
        <v>7</v>
      </c>
    </row>
    <row r="92" spans="2:10" ht="14.3" customHeight="1">
      <c r="B92" s="6">
        <v>89</v>
      </c>
      <c r="C92" s="7" t="s">
        <v>182</v>
      </c>
      <c r="D92" s="8">
        <v>42465</v>
      </c>
      <c r="E92" s="8">
        <v>42470</v>
      </c>
      <c r="F92" s="7" t="s">
        <v>183</v>
      </c>
      <c r="G92" s="7" t="s">
        <v>184</v>
      </c>
      <c r="H92" s="7">
        <v>158.36800000000002</v>
      </c>
      <c r="I92" s="9">
        <f t="shared" si="3"/>
        <v>4</v>
      </c>
      <c r="J92">
        <f t="shared" si="4"/>
        <v>5</v>
      </c>
    </row>
    <row r="93" spans="2:10" ht="14.3" customHeight="1">
      <c r="B93" s="6">
        <v>90</v>
      </c>
      <c r="C93" s="7" t="s">
        <v>185</v>
      </c>
      <c r="D93" s="8">
        <v>42630</v>
      </c>
      <c r="E93" s="8">
        <v>42635</v>
      </c>
      <c r="F93" s="7" t="s">
        <v>186</v>
      </c>
      <c r="G93" s="7" t="s">
        <v>187</v>
      </c>
      <c r="H93" s="7">
        <v>20.100000000000001</v>
      </c>
      <c r="I93" s="9">
        <f t="shared" si="3"/>
        <v>9</v>
      </c>
      <c r="J93">
        <f t="shared" si="4"/>
        <v>5</v>
      </c>
    </row>
    <row r="94" spans="2:10" ht="14.3" customHeight="1">
      <c r="B94" s="6">
        <v>91</v>
      </c>
      <c r="C94" s="7" t="s">
        <v>185</v>
      </c>
      <c r="D94" s="8">
        <v>42630</v>
      </c>
      <c r="E94" s="8">
        <v>42635</v>
      </c>
      <c r="F94" s="7" t="s">
        <v>186</v>
      </c>
      <c r="G94" s="7" t="s">
        <v>93</v>
      </c>
      <c r="H94" s="7">
        <v>73.584000000000003</v>
      </c>
      <c r="I94" s="9">
        <f t="shared" si="3"/>
        <v>9</v>
      </c>
      <c r="J94">
        <f t="shared" si="4"/>
        <v>5</v>
      </c>
    </row>
    <row r="95" spans="2:10" ht="14.3" customHeight="1">
      <c r="B95" s="6">
        <v>92</v>
      </c>
      <c r="C95" s="7" t="s">
        <v>185</v>
      </c>
      <c r="D95" s="8">
        <v>42630</v>
      </c>
      <c r="E95" s="8">
        <v>42635</v>
      </c>
      <c r="F95" s="7" t="s">
        <v>186</v>
      </c>
      <c r="G95" s="7" t="s">
        <v>188</v>
      </c>
      <c r="H95" s="7">
        <v>6.48</v>
      </c>
      <c r="I95" s="9">
        <f t="shared" si="3"/>
        <v>9</v>
      </c>
      <c r="J95">
        <f t="shared" si="4"/>
        <v>5</v>
      </c>
    </row>
    <row r="96" spans="2:10" ht="14.3" customHeight="1">
      <c r="B96" s="6">
        <v>93</v>
      </c>
      <c r="C96" s="7" t="s">
        <v>189</v>
      </c>
      <c r="D96" s="8">
        <v>42035</v>
      </c>
      <c r="E96" s="8">
        <v>42040</v>
      </c>
      <c r="F96" s="7" t="s">
        <v>190</v>
      </c>
      <c r="G96" s="7" t="s">
        <v>191</v>
      </c>
      <c r="H96" s="7">
        <v>12.96</v>
      </c>
      <c r="I96" s="9">
        <f t="shared" si="3"/>
        <v>1</v>
      </c>
      <c r="J96">
        <f t="shared" si="4"/>
        <v>5</v>
      </c>
    </row>
    <row r="97" spans="2:10" ht="14.3" customHeight="1">
      <c r="B97" s="6">
        <v>94</v>
      </c>
      <c r="C97" s="7" t="s">
        <v>189</v>
      </c>
      <c r="D97" s="8">
        <v>42035</v>
      </c>
      <c r="E97" s="8">
        <v>42040</v>
      </c>
      <c r="F97" s="7" t="s">
        <v>190</v>
      </c>
      <c r="G97" s="7" t="s">
        <v>192</v>
      </c>
      <c r="H97" s="7">
        <v>53.34</v>
      </c>
      <c r="I97" s="9">
        <f t="shared" si="3"/>
        <v>1</v>
      </c>
      <c r="J97">
        <f t="shared" si="4"/>
        <v>5</v>
      </c>
    </row>
    <row r="98" spans="2:10" ht="14.3" customHeight="1">
      <c r="B98" s="6">
        <v>95</v>
      </c>
      <c r="C98" s="7" t="s">
        <v>189</v>
      </c>
      <c r="D98" s="8">
        <v>42035</v>
      </c>
      <c r="E98" s="8">
        <v>42040</v>
      </c>
      <c r="F98" s="7" t="s">
        <v>190</v>
      </c>
      <c r="G98" s="7" t="s">
        <v>193</v>
      </c>
      <c r="H98" s="7">
        <v>32.96</v>
      </c>
      <c r="I98" s="9">
        <f t="shared" si="3"/>
        <v>1</v>
      </c>
      <c r="J98">
        <f t="shared" si="4"/>
        <v>5</v>
      </c>
    </row>
    <row r="99" spans="2:10" ht="14.3" customHeight="1">
      <c r="B99" s="6">
        <v>96</v>
      </c>
      <c r="C99" s="7" t="s">
        <v>194</v>
      </c>
      <c r="D99" s="8">
        <v>43045</v>
      </c>
      <c r="E99" s="8">
        <v>43051</v>
      </c>
      <c r="F99" s="7" t="s">
        <v>195</v>
      </c>
      <c r="G99" s="7" t="s">
        <v>196</v>
      </c>
      <c r="H99" s="7">
        <v>5.6820000000000013</v>
      </c>
      <c r="I99" s="9">
        <f t="shared" si="3"/>
        <v>11</v>
      </c>
      <c r="J99">
        <f t="shared" si="4"/>
        <v>6</v>
      </c>
    </row>
    <row r="100" spans="2:10" ht="14.3" customHeight="1">
      <c r="B100" s="6">
        <v>97</v>
      </c>
      <c r="C100" s="7" t="s">
        <v>197</v>
      </c>
      <c r="D100" s="8">
        <v>43048</v>
      </c>
      <c r="E100" s="8">
        <v>43050</v>
      </c>
      <c r="F100" s="7" t="s">
        <v>198</v>
      </c>
      <c r="G100" s="7" t="s">
        <v>199</v>
      </c>
      <c r="H100" s="7">
        <v>96.53</v>
      </c>
      <c r="I100" s="9">
        <f t="shared" si="3"/>
        <v>11</v>
      </c>
      <c r="J100">
        <f t="shared" si="4"/>
        <v>2</v>
      </c>
    </row>
    <row r="101" spans="2:10" ht="14.3" customHeight="1">
      <c r="B101" s="6">
        <v>98</v>
      </c>
      <c r="C101" s="7" t="s">
        <v>200</v>
      </c>
      <c r="D101" s="8">
        <v>42903</v>
      </c>
      <c r="E101" s="8">
        <v>42906</v>
      </c>
      <c r="F101" s="7" t="s">
        <v>201</v>
      </c>
      <c r="G101" s="7" t="s">
        <v>202</v>
      </c>
      <c r="H101" s="7">
        <v>51.311999999999998</v>
      </c>
      <c r="I101" s="9">
        <f t="shared" si="3"/>
        <v>6</v>
      </c>
      <c r="J101">
        <f t="shared" si="4"/>
        <v>3</v>
      </c>
    </row>
    <row r="102" spans="2:10" ht="14.3" customHeight="1">
      <c r="B102" s="6">
        <v>99</v>
      </c>
      <c r="C102" s="7" t="s">
        <v>203</v>
      </c>
      <c r="D102" s="8">
        <v>42619</v>
      </c>
      <c r="E102" s="8">
        <v>42624</v>
      </c>
      <c r="F102" s="7" t="s">
        <v>204</v>
      </c>
      <c r="G102" s="7" t="s">
        <v>205</v>
      </c>
      <c r="H102" s="7">
        <v>77.88</v>
      </c>
      <c r="I102" s="9">
        <f t="shared" si="3"/>
        <v>9</v>
      </c>
      <c r="J102">
        <f t="shared" si="4"/>
        <v>5</v>
      </c>
    </row>
    <row r="103" spans="2:10" ht="14.3" customHeight="1">
      <c r="B103" s="6">
        <v>100</v>
      </c>
      <c r="C103" s="7" t="s">
        <v>206</v>
      </c>
      <c r="D103" s="8">
        <v>42611</v>
      </c>
      <c r="E103" s="8">
        <v>42615</v>
      </c>
      <c r="F103" s="7" t="s">
        <v>207</v>
      </c>
      <c r="G103" s="7" t="s">
        <v>208</v>
      </c>
      <c r="H103" s="7">
        <v>64.623999999999995</v>
      </c>
      <c r="I103" s="9">
        <f t="shared" si="3"/>
        <v>8</v>
      </c>
      <c r="J103">
        <f t="shared" si="4"/>
        <v>4</v>
      </c>
    </row>
    <row r="104" spans="2:10" ht="14.3" customHeight="1">
      <c r="B104" s="6">
        <v>101</v>
      </c>
      <c r="C104" s="7" t="s">
        <v>206</v>
      </c>
      <c r="D104" s="8">
        <v>42611</v>
      </c>
      <c r="E104" s="8">
        <v>42615</v>
      </c>
      <c r="F104" s="7" t="s">
        <v>207</v>
      </c>
      <c r="G104" s="7" t="s">
        <v>209</v>
      </c>
      <c r="H104" s="7">
        <v>95.976000000000013</v>
      </c>
      <c r="I104" s="9">
        <f t="shared" si="3"/>
        <v>8</v>
      </c>
      <c r="J104">
        <f t="shared" si="4"/>
        <v>4</v>
      </c>
    </row>
    <row r="105" spans="2:10" ht="14.3" customHeight="1">
      <c r="B105" s="6">
        <v>102</v>
      </c>
      <c r="C105" s="7" t="s">
        <v>206</v>
      </c>
      <c r="D105" s="8">
        <v>42611</v>
      </c>
      <c r="E105" s="8">
        <v>42615</v>
      </c>
      <c r="F105" s="7" t="s">
        <v>207</v>
      </c>
      <c r="G105" s="7" t="s">
        <v>210</v>
      </c>
      <c r="H105" s="7">
        <v>1.7879999999999996</v>
      </c>
      <c r="I105" s="9">
        <f t="shared" si="3"/>
        <v>8</v>
      </c>
      <c r="J105">
        <f t="shared" si="4"/>
        <v>4</v>
      </c>
    </row>
    <row r="106" spans="2:10" ht="14.3" customHeight="1">
      <c r="B106" s="6">
        <v>103</v>
      </c>
      <c r="C106" s="7" t="s">
        <v>211</v>
      </c>
      <c r="D106" s="8">
        <v>42705</v>
      </c>
      <c r="E106" s="8">
        <v>42708</v>
      </c>
      <c r="F106" s="7" t="s">
        <v>212</v>
      </c>
      <c r="G106" s="7" t="s">
        <v>213</v>
      </c>
      <c r="H106" s="7">
        <v>23.92</v>
      </c>
      <c r="I106" s="9">
        <f t="shared" si="3"/>
        <v>12</v>
      </c>
      <c r="J106">
        <f t="shared" si="4"/>
        <v>3</v>
      </c>
    </row>
    <row r="107" spans="2:10" ht="14.3" customHeight="1">
      <c r="B107" s="6">
        <v>104</v>
      </c>
      <c r="C107" s="7" t="s">
        <v>214</v>
      </c>
      <c r="D107" s="8">
        <v>42321</v>
      </c>
      <c r="E107" s="8">
        <v>42325</v>
      </c>
      <c r="F107" s="7" t="s">
        <v>215</v>
      </c>
      <c r="G107" s="7" t="s">
        <v>216</v>
      </c>
      <c r="H107" s="7">
        <v>238.89600000000002</v>
      </c>
      <c r="I107" s="9">
        <f t="shared" si="3"/>
        <v>11</v>
      </c>
      <c r="J107">
        <f t="shared" si="4"/>
        <v>4</v>
      </c>
    </row>
    <row r="108" spans="2:10" ht="14.3" customHeight="1">
      <c r="B108" s="6">
        <v>105</v>
      </c>
      <c r="C108" s="7" t="s">
        <v>214</v>
      </c>
      <c r="D108" s="8">
        <v>42321</v>
      </c>
      <c r="E108" s="8">
        <v>42325</v>
      </c>
      <c r="F108" s="7" t="s">
        <v>215</v>
      </c>
      <c r="G108" s="7" t="s">
        <v>217</v>
      </c>
      <c r="H108" s="7">
        <v>102.35999999999999</v>
      </c>
      <c r="I108" s="9">
        <f t="shared" si="3"/>
        <v>11</v>
      </c>
      <c r="J108">
        <f t="shared" si="4"/>
        <v>4</v>
      </c>
    </row>
    <row r="109" spans="2:10" ht="14.3" customHeight="1">
      <c r="B109" s="6">
        <v>106</v>
      </c>
      <c r="C109" s="7" t="s">
        <v>214</v>
      </c>
      <c r="D109" s="8">
        <v>42321</v>
      </c>
      <c r="E109" s="8">
        <v>42325</v>
      </c>
      <c r="F109" s="7" t="s">
        <v>215</v>
      </c>
      <c r="G109" s="7" t="s">
        <v>218</v>
      </c>
      <c r="H109" s="7">
        <v>36.882000000000005</v>
      </c>
      <c r="I109" s="9">
        <f t="shared" si="3"/>
        <v>11</v>
      </c>
      <c r="J109">
        <f t="shared" si="4"/>
        <v>4</v>
      </c>
    </row>
    <row r="110" spans="2:10" ht="14.3" customHeight="1">
      <c r="B110" s="6">
        <v>107</v>
      </c>
      <c r="C110" s="7" t="s">
        <v>219</v>
      </c>
      <c r="D110" s="8">
        <v>43062</v>
      </c>
      <c r="E110" s="8">
        <v>43067</v>
      </c>
      <c r="F110" s="7" t="s">
        <v>220</v>
      </c>
      <c r="G110" s="7" t="s">
        <v>221</v>
      </c>
      <c r="H110" s="7">
        <v>74.112000000000009</v>
      </c>
      <c r="I110" s="9">
        <f t="shared" si="3"/>
        <v>11</v>
      </c>
      <c r="J110">
        <f t="shared" si="4"/>
        <v>5</v>
      </c>
    </row>
    <row r="111" spans="2:10" ht="14.3" customHeight="1">
      <c r="B111" s="6">
        <v>108</v>
      </c>
      <c r="C111" s="7" t="s">
        <v>219</v>
      </c>
      <c r="D111" s="8">
        <v>43062</v>
      </c>
      <c r="E111" s="8">
        <v>43067</v>
      </c>
      <c r="F111" s="7" t="s">
        <v>220</v>
      </c>
      <c r="G111" s="7" t="s">
        <v>222</v>
      </c>
      <c r="H111" s="7">
        <v>27.992000000000004</v>
      </c>
      <c r="I111" s="9">
        <f t="shared" si="3"/>
        <v>11</v>
      </c>
      <c r="J111">
        <f t="shared" si="4"/>
        <v>5</v>
      </c>
    </row>
    <row r="112" spans="2:10" ht="14.3" customHeight="1">
      <c r="B112" s="6">
        <v>109</v>
      </c>
      <c r="C112" s="7" t="s">
        <v>219</v>
      </c>
      <c r="D112" s="8">
        <v>43062</v>
      </c>
      <c r="E112" s="8">
        <v>43067</v>
      </c>
      <c r="F112" s="7" t="s">
        <v>220</v>
      </c>
      <c r="G112" s="7" t="s">
        <v>223</v>
      </c>
      <c r="H112" s="7">
        <v>3.3040000000000003</v>
      </c>
      <c r="I112" s="9">
        <f t="shared" si="3"/>
        <v>11</v>
      </c>
      <c r="J112">
        <f t="shared" si="4"/>
        <v>5</v>
      </c>
    </row>
    <row r="113" spans="2:10" ht="14.3" customHeight="1">
      <c r="B113" s="6">
        <v>110</v>
      </c>
      <c r="C113" s="7" t="s">
        <v>224</v>
      </c>
      <c r="D113" s="8">
        <v>42292</v>
      </c>
      <c r="E113" s="8">
        <v>42297</v>
      </c>
      <c r="F113" s="7" t="s">
        <v>225</v>
      </c>
      <c r="G113" s="7" t="s">
        <v>226</v>
      </c>
      <c r="H113" s="7">
        <v>339.96000000000004</v>
      </c>
      <c r="I113" s="9">
        <f t="shared" si="3"/>
        <v>10</v>
      </c>
      <c r="J113">
        <f t="shared" si="4"/>
        <v>5</v>
      </c>
    </row>
    <row r="114" spans="2:10" ht="14.3" customHeight="1">
      <c r="B114" s="6">
        <v>111</v>
      </c>
      <c r="C114" s="7" t="s">
        <v>227</v>
      </c>
      <c r="D114" s="8">
        <v>43094</v>
      </c>
      <c r="E114" s="8">
        <v>43099</v>
      </c>
      <c r="F114" s="7" t="s">
        <v>228</v>
      </c>
      <c r="G114" s="7" t="s">
        <v>229</v>
      </c>
      <c r="H114" s="7">
        <v>41.96</v>
      </c>
      <c r="I114" s="9">
        <f t="shared" si="3"/>
        <v>12</v>
      </c>
      <c r="J114">
        <f t="shared" si="4"/>
        <v>5</v>
      </c>
    </row>
    <row r="115" spans="2:10" ht="14.3" customHeight="1">
      <c r="B115" s="6">
        <v>112</v>
      </c>
      <c r="C115" s="7" t="s">
        <v>230</v>
      </c>
      <c r="D115" s="8">
        <v>42677</v>
      </c>
      <c r="E115" s="8">
        <v>42684</v>
      </c>
      <c r="F115" s="7" t="s">
        <v>231</v>
      </c>
      <c r="G115" s="7" t="s">
        <v>232</v>
      </c>
      <c r="H115" s="7">
        <v>75.959999999999994</v>
      </c>
      <c r="I115" s="9">
        <f t="shared" si="3"/>
        <v>11</v>
      </c>
      <c r="J115">
        <f t="shared" si="4"/>
        <v>7</v>
      </c>
    </row>
    <row r="116" spans="2:10" ht="14.3" customHeight="1">
      <c r="B116" s="6">
        <v>113</v>
      </c>
      <c r="C116" s="7" t="s">
        <v>230</v>
      </c>
      <c r="D116" s="8">
        <v>42677</v>
      </c>
      <c r="E116" s="8">
        <v>42684</v>
      </c>
      <c r="F116" s="7" t="s">
        <v>231</v>
      </c>
      <c r="G116" s="7" t="s">
        <v>233</v>
      </c>
      <c r="H116" s="7">
        <v>27.240000000000002</v>
      </c>
      <c r="I116" s="9">
        <f t="shared" si="3"/>
        <v>11</v>
      </c>
      <c r="J116">
        <f t="shared" si="4"/>
        <v>7</v>
      </c>
    </row>
    <row r="117" spans="2:10" ht="14.3" customHeight="1">
      <c r="B117" s="6">
        <v>114</v>
      </c>
      <c r="C117" s="7" t="s">
        <v>234</v>
      </c>
      <c r="D117" s="8">
        <v>41876</v>
      </c>
      <c r="E117" s="8">
        <v>41878</v>
      </c>
      <c r="F117" s="7" t="s">
        <v>235</v>
      </c>
      <c r="G117" s="7" t="s">
        <v>236</v>
      </c>
      <c r="H117" s="7">
        <v>40.096000000000004</v>
      </c>
      <c r="I117" s="9">
        <f t="shared" si="3"/>
        <v>8</v>
      </c>
      <c r="J117">
        <f t="shared" si="4"/>
        <v>2</v>
      </c>
    </row>
    <row r="118" spans="2:10" ht="14.3" customHeight="1">
      <c r="B118" s="6">
        <v>115</v>
      </c>
      <c r="C118" s="7" t="s">
        <v>234</v>
      </c>
      <c r="D118" s="8">
        <v>41876</v>
      </c>
      <c r="E118" s="8">
        <v>41878</v>
      </c>
      <c r="F118" s="7" t="s">
        <v>235</v>
      </c>
      <c r="G118" s="7" t="s">
        <v>237</v>
      </c>
      <c r="H118" s="7">
        <v>4.7200000000000006</v>
      </c>
      <c r="I118" s="9">
        <f t="shared" si="3"/>
        <v>8</v>
      </c>
      <c r="J118">
        <f t="shared" si="4"/>
        <v>2</v>
      </c>
    </row>
    <row r="119" spans="2:10" ht="14.3" customHeight="1">
      <c r="B119" s="6">
        <v>116</v>
      </c>
      <c r="C119" s="7" t="s">
        <v>234</v>
      </c>
      <c r="D119" s="8">
        <v>41876</v>
      </c>
      <c r="E119" s="8">
        <v>41878</v>
      </c>
      <c r="F119" s="7" t="s">
        <v>235</v>
      </c>
      <c r="G119" s="7" t="s">
        <v>238</v>
      </c>
      <c r="H119" s="7">
        <v>23.976000000000003</v>
      </c>
      <c r="I119" s="9">
        <f t="shared" si="3"/>
        <v>8</v>
      </c>
      <c r="J119">
        <f t="shared" si="4"/>
        <v>2</v>
      </c>
    </row>
    <row r="120" spans="2:10" ht="14.3" customHeight="1">
      <c r="B120" s="6">
        <v>117</v>
      </c>
      <c r="C120" s="7" t="s">
        <v>234</v>
      </c>
      <c r="D120" s="8">
        <v>41876</v>
      </c>
      <c r="E120" s="8">
        <v>41878</v>
      </c>
      <c r="F120" s="7" t="s">
        <v>235</v>
      </c>
      <c r="G120" s="7" t="s">
        <v>239</v>
      </c>
      <c r="H120" s="7">
        <v>130.464</v>
      </c>
      <c r="I120" s="9">
        <f t="shared" si="3"/>
        <v>8</v>
      </c>
      <c r="J120">
        <f t="shared" si="4"/>
        <v>2</v>
      </c>
    </row>
    <row r="121" spans="2:10" ht="14.3" customHeight="1">
      <c r="B121" s="6">
        <v>118</v>
      </c>
      <c r="C121" s="7" t="s">
        <v>240</v>
      </c>
      <c r="D121" s="8">
        <v>42065</v>
      </c>
      <c r="E121" s="8">
        <v>42069</v>
      </c>
      <c r="F121" s="7" t="s">
        <v>241</v>
      </c>
      <c r="G121" s="7" t="s">
        <v>242</v>
      </c>
      <c r="H121" s="7">
        <v>787.53</v>
      </c>
      <c r="I121" s="9">
        <f t="shared" si="3"/>
        <v>3</v>
      </c>
      <c r="J121">
        <f t="shared" si="4"/>
        <v>4</v>
      </c>
    </row>
    <row r="122" spans="2:10" ht="14.3" customHeight="1">
      <c r="B122" s="6">
        <v>119</v>
      </c>
      <c r="C122" s="7" t="s">
        <v>243</v>
      </c>
      <c r="D122" s="8">
        <v>42099</v>
      </c>
      <c r="E122" s="8">
        <v>42104</v>
      </c>
      <c r="F122" s="7" t="s">
        <v>244</v>
      </c>
      <c r="G122" s="7" t="s">
        <v>245</v>
      </c>
      <c r="H122" s="7">
        <v>157.79400000000004</v>
      </c>
      <c r="I122" s="9">
        <f t="shared" si="3"/>
        <v>4</v>
      </c>
      <c r="J122">
        <f t="shared" si="4"/>
        <v>5</v>
      </c>
    </row>
    <row r="123" spans="2:10" ht="14.3" customHeight="1">
      <c r="B123" s="6">
        <v>120</v>
      </c>
      <c r="C123" s="7" t="s">
        <v>246</v>
      </c>
      <c r="D123" s="8">
        <v>42533</v>
      </c>
      <c r="E123" s="8">
        <v>42536</v>
      </c>
      <c r="F123" s="7" t="s">
        <v>247</v>
      </c>
      <c r="G123" s="7" t="s">
        <v>248</v>
      </c>
      <c r="H123" s="7">
        <v>47.04</v>
      </c>
      <c r="I123" s="9">
        <f t="shared" si="3"/>
        <v>6</v>
      </c>
      <c r="J123">
        <f t="shared" si="4"/>
        <v>3</v>
      </c>
    </row>
    <row r="124" spans="2:10" ht="14.3" customHeight="1">
      <c r="B124" s="6">
        <v>121</v>
      </c>
      <c r="C124" s="7" t="s">
        <v>246</v>
      </c>
      <c r="D124" s="8">
        <v>42533</v>
      </c>
      <c r="E124" s="8">
        <v>42536</v>
      </c>
      <c r="F124" s="7" t="s">
        <v>247</v>
      </c>
      <c r="G124" s="7" t="s">
        <v>31</v>
      </c>
      <c r="H124" s="7">
        <v>30.84</v>
      </c>
      <c r="I124" s="9">
        <f t="shared" si="3"/>
        <v>6</v>
      </c>
      <c r="J124">
        <f t="shared" si="4"/>
        <v>3</v>
      </c>
    </row>
    <row r="125" spans="2:10" ht="14.3" customHeight="1">
      <c r="B125" s="6">
        <v>122</v>
      </c>
      <c r="C125" s="7" t="s">
        <v>246</v>
      </c>
      <c r="D125" s="8">
        <v>42533</v>
      </c>
      <c r="E125" s="8">
        <v>42536</v>
      </c>
      <c r="F125" s="7" t="s">
        <v>247</v>
      </c>
      <c r="G125" s="7" t="s">
        <v>249</v>
      </c>
      <c r="H125" s="7">
        <v>226.56</v>
      </c>
      <c r="I125" s="9">
        <f t="shared" si="3"/>
        <v>6</v>
      </c>
      <c r="J125">
        <f t="shared" si="4"/>
        <v>3</v>
      </c>
    </row>
    <row r="126" spans="2:10" ht="14.3" customHeight="1">
      <c r="B126" s="6">
        <v>123</v>
      </c>
      <c r="C126" s="7" t="s">
        <v>246</v>
      </c>
      <c r="D126" s="8">
        <v>42533</v>
      </c>
      <c r="E126" s="8">
        <v>42536</v>
      </c>
      <c r="F126" s="7" t="s">
        <v>247</v>
      </c>
      <c r="G126" s="7" t="s">
        <v>250</v>
      </c>
      <c r="H126" s="7">
        <v>115.02</v>
      </c>
      <c r="I126" s="9">
        <f t="shared" si="3"/>
        <v>6</v>
      </c>
      <c r="J126">
        <f t="shared" si="4"/>
        <v>3</v>
      </c>
    </row>
    <row r="127" spans="2:10" ht="14.3" customHeight="1">
      <c r="B127" s="6">
        <v>124</v>
      </c>
      <c r="C127" s="7" t="s">
        <v>246</v>
      </c>
      <c r="D127" s="8">
        <v>42533</v>
      </c>
      <c r="E127" s="8">
        <v>42536</v>
      </c>
      <c r="F127" s="7" t="s">
        <v>247</v>
      </c>
      <c r="G127" s="7" t="s">
        <v>251</v>
      </c>
      <c r="H127" s="7">
        <v>68.040000000000006</v>
      </c>
      <c r="I127" s="9">
        <f t="shared" si="3"/>
        <v>6</v>
      </c>
      <c r="J127">
        <f t="shared" si="4"/>
        <v>3</v>
      </c>
    </row>
    <row r="128" spans="2:10" ht="14.3" customHeight="1">
      <c r="B128" s="6">
        <v>125</v>
      </c>
      <c r="C128" s="7" t="s">
        <v>252</v>
      </c>
      <c r="D128" s="8">
        <v>41999</v>
      </c>
      <c r="E128" s="8">
        <v>42001</v>
      </c>
      <c r="F128" s="7" t="s">
        <v>253</v>
      </c>
      <c r="G128" s="7" t="s">
        <v>254</v>
      </c>
      <c r="H128" s="7">
        <v>600.55799999999999</v>
      </c>
      <c r="I128" s="9">
        <f t="shared" si="3"/>
        <v>12</v>
      </c>
      <c r="J128">
        <f t="shared" si="4"/>
        <v>2</v>
      </c>
    </row>
    <row r="129" spans="2:10" ht="14.3" customHeight="1">
      <c r="B129" s="6">
        <v>126</v>
      </c>
      <c r="C129" s="7" t="s">
        <v>255</v>
      </c>
      <c r="D129" s="8">
        <v>41902</v>
      </c>
      <c r="E129" s="8">
        <v>41907</v>
      </c>
      <c r="F129" s="7" t="s">
        <v>256</v>
      </c>
      <c r="G129" s="7" t="s">
        <v>257</v>
      </c>
      <c r="H129" s="7">
        <v>617.70000000000005</v>
      </c>
      <c r="I129" s="9">
        <f t="shared" si="3"/>
        <v>9</v>
      </c>
      <c r="J129">
        <f t="shared" si="4"/>
        <v>5</v>
      </c>
    </row>
    <row r="130" spans="2:10" ht="14.3" customHeight="1">
      <c r="B130" s="6">
        <v>127</v>
      </c>
      <c r="C130" s="7" t="s">
        <v>258</v>
      </c>
      <c r="D130" s="8">
        <v>43044</v>
      </c>
      <c r="E130" s="8">
        <v>43051</v>
      </c>
      <c r="F130" s="7" t="s">
        <v>259</v>
      </c>
      <c r="G130" s="7" t="s">
        <v>260</v>
      </c>
      <c r="H130" s="7">
        <v>2.3880000000000003</v>
      </c>
      <c r="I130" s="9">
        <f t="shared" si="3"/>
        <v>11</v>
      </c>
      <c r="J130">
        <f t="shared" si="4"/>
        <v>7</v>
      </c>
    </row>
    <row r="131" spans="2:10" ht="14.3" customHeight="1">
      <c r="B131" s="6">
        <v>128</v>
      </c>
      <c r="C131" s="7" t="s">
        <v>258</v>
      </c>
      <c r="D131" s="8">
        <v>43044</v>
      </c>
      <c r="E131" s="8">
        <v>43051</v>
      </c>
      <c r="F131" s="7" t="s">
        <v>259</v>
      </c>
      <c r="G131" s="7" t="s">
        <v>261</v>
      </c>
      <c r="H131" s="7">
        <v>243.99200000000002</v>
      </c>
      <c r="I131" s="9">
        <f t="shared" si="3"/>
        <v>11</v>
      </c>
      <c r="J131">
        <f t="shared" si="4"/>
        <v>7</v>
      </c>
    </row>
    <row r="132" spans="2:10" ht="14.3" customHeight="1">
      <c r="B132" s="6">
        <v>129</v>
      </c>
      <c r="C132" s="7" t="s">
        <v>262</v>
      </c>
      <c r="D132" s="8">
        <v>42680</v>
      </c>
      <c r="E132" s="8">
        <v>42684</v>
      </c>
      <c r="F132" s="7" t="s">
        <v>263</v>
      </c>
      <c r="G132" s="7" t="s">
        <v>137</v>
      </c>
      <c r="H132" s="7">
        <v>81.424000000000007</v>
      </c>
      <c r="I132" s="9">
        <f t="shared" si="3"/>
        <v>11</v>
      </c>
      <c r="J132">
        <f t="shared" si="4"/>
        <v>4</v>
      </c>
    </row>
    <row r="133" spans="2:10" ht="14.3" customHeight="1">
      <c r="B133" s="6">
        <v>130</v>
      </c>
      <c r="C133" s="7" t="s">
        <v>262</v>
      </c>
      <c r="D133" s="8">
        <v>42680</v>
      </c>
      <c r="E133" s="8">
        <v>42684</v>
      </c>
      <c r="F133" s="7" t="s">
        <v>263</v>
      </c>
      <c r="G133" s="7" t="s">
        <v>264</v>
      </c>
      <c r="H133" s="7">
        <v>238.56</v>
      </c>
      <c r="I133" s="9">
        <f t="shared" ref="I133:I196" si="5">MONTH(D133)</f>
        <v>11</v>
      </c>
      <c r="J133">
        <f t="shared" ref="J133:J196" si="6">DATEDIF(D133,E133,"D")</f>
        <v>4</v>
      </c>
    </row>
    <row r="134" spans="2:10" ht="14.3" customHeight="1">
      <c r="B134" s="6">
        <v>131</v>
      </c>
      <c r="C134" s="7" t="s">
        <v>265</v>
      </c>
      <c r="D134" s="8">
        <v>42768</v>
      </c>
      <c r="E134" s="8">
        <v>42771</v>
      </c>
      <c r="F134" s="7" t="s">
        <v>266</v>
      </c>
      <c r="G134" s="7" t="s">
        <v>267</v>
      </c>
      <c r="H134" s="7">
        <v>59.969999999999992</v>
      </c>
      <c r="I134" s="9">
        <f t="shared" si="5"/>
        <v>2</v>
      </c>
      <c r="J134">
        <f t="shared" si="6"/>
        <v>3</v>
      </c>
    </row>
    <row r="135" spans="2:10" ht="14.3" customHeight="1">
      <c r="B135" s="6">
        <v>132</v>
      </c>
      <c r="C135" s="7" t="s">
        <v>265</v>
      </c>
      <c r="D135" s="8">
        <v>42768</v>
      </c>
      <c r="E135" s="8">
        <v>42771</v>
      </c>
      <c r="F135" s="7" t="s">
        <v>266</v>
      </c>
      <c r="G135" s="7" t="s">
        <v>268</v>
      </c>
      <c r="H135" s="7">
        <v>78.304000000000002</v>
      </c>
      <c r="I135" s="9">
        <f t="shared" si="5"/>
        <v>2</v>
      </c>
      <c r="J135">
        <f t="shared" si="6"/>
        <v>3</v>
      </c>
    </row>
    <row r="136" spans="2:10" ht="14.3" customHeight="1">
      <c r="B136" s="6">
        <v>133</v>
      </c>
      <c r="C136" s="7" t="s">
        <v>265</v>
      </c>
      <c r="D136" s="8">
        <v>42768</v>
      </c>
      <c r="E136" s="8">
        <v>42771</v>
      </c>
      <c r="F136" s="7" t="s">
        <v>266</v>
      </c>
      <c r="G136" s="7" t="s">
        <v>269</v>
      </c>
      <c r="H136" s="7">
        <v>21.456</v>
      </c>
      <c r="I136" s="9">
        <f t="shared" si="5"/>
        <v>2</v>
      </c>
      <c r="J136">
        <f t="shared" si="6"/>
        <v>3</v>
      </c>
    </row>
    <row r="137" spans="2:10" ht="14.3" customHeight="1">
      <c r="B137" s="6">
        <v>134</v>
      </c>
      <c r="C137" s="7" t="s">
        <v>270</v>
      </c>
      <c r="D137" s="8">
        <v>42656</v>
      </c>
      <c r="E137" s="8">
        <v>42662</v>
      </c>
      <c r="F137" s="7" t="s">
        <v>271</v>
      </c>
      <c r="G137" s="7" t="s">
        <v>272</v>
      </c>
      <c r="H137" s="7">
        <v>20.04</v>
      </c>
      <c r="I137" s="9">
        <f t="shared" si="5"/>
        <v>10</v>
      </c>
      <c r="J137">
        <f t="shared" si="6"/>
        <v>6</v>
      </c>
    </row>
    <row r="138" spans="2:10" ht="14.3" customHeight="1">
      <c r="B138" s="6">
        <v>135</v>
      </c>
      <c r="C138" s="7" t="s">
        <v>270</v>
      </c>
      <c r="D138" s="8">
        <v>42656</v>
      </c>
      <c r="E138" s="8">
        <v>42662</v>
      </c>
      <c r="F138" s="7" t="s">
        <v>271</v>
      </c>
      <c r="G138" s="7" t="s">
        <v>273</v>
      </c>
      <c r="H138" s="7">
        <v>35.44</v>
      </c>
      <c r="I138" s="9">
        <f t="shared" si="5"/>
        <v>10</v>
      </c>
      <c r="J138">
        <f t="shared" si="6"/>
        <v>6</v>
      </c>
    </row>
    <row r="139" spans="2:10" ht="14.3" customHeight="1">
      <c r="B139" s="6">
        <v>136</v>
      </c>
      <c r="C139" s="7" t="s">
        <v>270</v>
      </c>
      <c r="D139" s="8">
        <v>42656</v>
      </c>
      <c r="E139" s="8">
        <v>42662</v>
      </c>
      <c r="F139" s="7" t="s">
        <v>271</v>
      </c>
      <c r="G139" s="7" t="s">
        <v>274</v>
      </c>
      <c r="H139" s="7">
        <v>11.52</v>
      </c>
      <c r="I139" s="9">
        <f t="shared" si="5"/>
        <v>10</v>
      </c>
      <c r="J139">
        <f t="shared" si="6"/>
        <v>6</v>
      </c>
    </row>
    <row r="140" spans="2:10" ht="14.3" customHeight="1">
      <c r="B140" s="6">
        <v>137</v>
      </c>
      <c r="C140" s="7" t="s">
        <v>270</v>
      </c>
      <c r="D140" s="8">
        <v>42656</v>
      </c>
      <c r="E140" s="8">
        <v>42662</v>
      </c>
      <c r="F140" s="7" t="s">
        <v>271</v>
      </c>
      <c r="G140" s="7" t="s">
        <v>275</v>
      </c>
      <c r="H140" s="7">
        <v>4.0199999999999996</v>
      </c>
      <c r="I140" s="9">
        <f t="shared" si="5"/>
        <v>10</v>
      </c>
      <c r="J140">
        <f t="shared" si="6"/>
        <v>6</v>
      </c>
    </row>
    <row r="141" spans="2:10" ht="14.3" customHeight="1">
      <c r="B141" s="6">
        <v>138</v>
      </c>
      <c r="C141" s="7" t="s">
        <v>270</v>
      </c>
      <c r="D141" s="8">
        <v>42656</v>
      </c>
      <c r="E141" s="8">
        <v>42662</v>
      </c>
      <c r="F141" s="7" t="s">
        <v>271</v>
      </c>
      <c r="G141" s="7" t="s">
        <v>276</v>
      </c>
      <c r="H141" s="7">
        <v>76.176000000000002</v>
      </c>
      <c r="I141" s="9">
        <f t="shared" si="5"/>
        <v>10</v>
      </c>
      <c r="J141">
        <f t="shared" si="6"/>
        <v>6</v>
      </c>
    </row>
    <row r="142" spans="2:10" ht="14.3" customHeight="1">
      <c r="B142" s="6">
        <v>139</v>
      </c>
      <c r="C142" s="7" t="s">
        <v>270</v>
      </c>
      <c r="D142" s="8">
        <v>42656</v>
      </c>
      <c r="E142" s="8">
        <v>42662</v>
      </c>
      <c r="F142" s="7" t="s">
        <v>271</v>
      </c>
      <c r="G142" s="7" t="s">
        <v>277</v>
      </c>
      <c r="H142" s="7">
        <v>65.88</v>
      </c>
      <c r="I142" s="9">
        <f t="shared" si="5"/>
        <v>10</v>
      </c>
      <c r="J142">
        <f t="shared" si="6"/>
        <v>6</v>
      </c>
    </row>
    <row r="143" spans="2:10" ht="14.3" customHeight="1">
      <c r="B143" s="6">
        <v>140</v>
      </c>
      <c r="C143" s="7" t="s">
        <v>270</v>
      </c>
      <c r="D143" s="8">
        <v>42656</v>
      </c>
      <c r="E143" s="8">
        <v>42662</v>
      </c>
      <c r="F143" s="7" t="s">
        <v>271</v>
      </c>
      <c r="G143" s="7" t="s">
        <v>115</v>
      </c>
      <c r="H143" s="7">
        <v>43.120000000000005</v>
      </c>
      <c r="I143" s="9">
        <f t="shared" si="5"/>
        <v>10</v>
      </c>
      <c r="J143">
        <f t="shared" si="6"/>
        <v>6</v>
      </c>
    </row>
    <row r="144" spans="2:10" ht="14.3" customHeight="1">
      <c r="B144" s="6">
        <v>141</v>
      </c>
      <c r="C144" s="7" t="s">
        <v>278</v>
      </c>
      <c r="D144" s="8">
        <v>42618</v>
      </c>
      <c r="E144" s="8">
        <v>42620</v>
      </c>
      <c r="F144" s="7" t="s">
        <v>279</v>
      </c>
      <c r="G144" s="7" t="s">
        <v>73</v>
      </c>
      <c r="H144" s="7">
        <v>82.800000000000011</v>
      </c>
      <c r="I144" s="9">
        <f t="shared" si="5"/>
        <v>9</v>
      </c>
      <c r="J144">
        <f t="shared" si="6"/>
        <v>2</v>
      </c>
    </row>
    <row r="145" spans="2:10" ht="14.3" customHeight="1">
      <c r="B145" s="6">
        <v>142</v>
      </c>
      <c r="C145" s="7" t="s">
        <v>280</v>
      </c>
      <c r="D145" s="8">
        <v>42996</v>
      </c>
      <c r="E145" s="8">
        <v>43001</v>
      </c>
      <c r="F145" s="7" t="s">
        <v>281</v>
      </c>
      <c r="G145" s="7" t="s">
        <v>282</v>
      </c>
      <c r="H145" s="7">
        <v>8.82</v>
      </c>
      <c r="I145" s="9">
        <f t="shared" si="5"/>
        <v>9</v>
      </c>
      <c r="J145">
        <f t="shared" si="6"/>
        <v>5</v>
      </c>
    </row>
    <row r="146" spans="2:10" ht="14.3" customHeight="1">
      <c r="B146" s="6">
        <v>143</v>
      </c>
      <c r="C146" s="7" t="s">
        <v>280</v>
      </c>
      <c r="D146" s="8">
        <v>42996</v>
      </c>
      <c r="E146" s="8">
        <v>43001</v>
      </c>
      <c r="F146" s="7" t="s">
        <v>281</v>
      </c>
      <c r="G146" s="7" t="s">
        <v>283</v>
      </c>
      <c r="H146" s="7">
        <v>10.86</v>
      </c>
      <c r="I146" s="9">
        <f t="shared" si="5"/>
        <v>9</v>
      </c>
      <c r="J146">
        <f t="shared" si="6"/>
        <v>5</v>
      </c>
    </row>
    <row r="147" spans="2:10" ht="14.3" customHeight="1">
      <c r="B147" s="6">
        <v>144</v>
      </c>
      <c r="C147" s="7" t="s">
        <v>280</v>
      </c>
      <c r="D147" s="8">
        <v>42996</v>
      </c>
      <c r="E147" s="8">
        <v>43001</v>
      </c>
      <c r="F147" s="7" t="s">
        <v>281</v>
      </c>
      <c r="G147" s="7" t="s">
        <v>284</v>
      </c>
      <c r="H147" s="7">
        <v>143.69999999999999</v>
      </c>
      <c r="I147" s="9">
        <f t="shared" si="5"/>
        <v>9</v>
      </c>
      <c r="J147">
        <f t="shared" si="6"/>
        <v>5</v>
      </c>
    </row>
    <row r="148" spans="2:10" ht="14.3" customHeight="1">
      <c r="B148" s="6">
        <v>145</v>
      </c>
      <c r="C148" s="7" t="s">
        <v>285</v>
      </c>
      <c r="D148" s="8">
        <v>43091</v>
      </c>
      <c r="E148" s="8">
        <v>43096</v>
      </c>
      <c r="F148" s="7" t="s">
        <v>286</v>
      </c>
      <c r="G148" s="7" t="s">
        <v>287</v>
      </c>
      <c r="H148" s="7">
        <v>839.43000000000006</v>
      </c>
      <c r="I148" s="9">
        <f t="shared" si="5"/>
        <v>12</v>
      </c>
      <c r="J148">
        <f t="shared" si="6"/>
        <v>5</v>
      </c>
    </row>
    <row r="149" spans="2:10" ht="14.3" customHeight="1">
      <c r="B149" s="6">
        <v>146</v>
      </c>
      <c r="C149" s="7" t="s">
        <v>288</v>
      </c>
      <c r="D149" s="8">
        <v>42254</v>
      </c>
      <c r="E149" s="8">
        <v>42259</v>
      </c>
      <c r="F149" s="7" t="s">
        <v>289</v>
      </c>
      <c r="G149" s="7" t="s">
        <v>175</v>
      </c>
      <c r="H149" s="7">
        <v>671.93</v>
      </c>
      <c r="I149" s="9">
        <f t="shared" si="5"/>
        <v>9</v>
      </c>
      <c r="J149">
        <f t="shared" si="6"/>
        <v>5</v>
      </c>
    </row>
    <row r="150" spans="2:10" ht="14.3" customHeight="1">
      <c r="B150" s="6">
        <v>147</v>
      </c>
      <c r="C150" s="7" t="s">
        <v>290</v>
      </c>
      <c r="D150" s="8">
        <v>41934</v>
      </c>
      <c r="E150" s="8">
        <v>41940</v>
      </c>
      <c r="F150" s="7" t="s">
        <v>291</v>
      </c>
      <c r="G150" s="7" t="s">
        <v>292</v>
      </c>
      <c r="H150" s="7">
        <v>93.888000000000005</v>
      </c>
      <c r="I150" s="9">
        <f t="shared" si="5"/>
        <v>10</v>
      </c>
      <c r="J150">
        <f t="shared" si="6"/>
        <v>6</v>
      </c>
    </row>
    <row r="151" spans="2:10" ht="14.3" customHeight="1">
      <c r="B151" s="6">
        <v>148</v>
      </c>
      <c r="C151" s="7" t="s">
        <v>293</v>
      </c>
      <c r="D151" s="8">
        <v>42709</v>
      </c>
      <c r="E151" s="8">
        <v>42713</v>
      </c>
      <c r="F151" s="7" t="s">
        <v>294</v>
      </c>
      <c r="G151" s="7" t="s">
        <v>295</v>
      </c>
      <c r="H151" s="7">
        <v>384.45000000000005</v>
      </c>
      <c r="I151" s="9">
        <f t="shared" si="5"/>
        <v>12</v>
      </c>
      <c r="J151">
        <f t="shared" si="6"/>
        <v>4</v>
      </c>
    </row>
    <row r="152" spans="2:10" ht="14.3" customHeight="1">
      <c r="B152" s="6">
        <v>149</v>
      </c>
      <c r="C152" s="7" t="s">
        <v>293</v>
      </c>
      <c r="D152" s="8">
        <v>42709</v>
      </c>
      <c r="E152" s="8">
        <v>42713</v>
      </c>
      <c r="F152" s="7" t="s">
        <v>294</v>
      </c>
      <c r="G152" s="7" t="s">
        <v>296</v>
      </c>
      <c r="H152" s="7">
        <v>149.97</v>
      </c>
      <c r="I152" s="9">
        <f t="shared" si="5"/>
        <v>12</v>
      </c>
      <c r="J152">
        <f t="shared" si="6"/>
        <v>4</v>
      </c>
    </row>
    <row r="153" spans="2:10" ht="14.3" customHeight="1">
      <c r="B153" s="6">
        <v>150</v>
      </c>
      <c r="C153" s="7" t="s">
        <v>293</v>
      </c>
      <c r="D153" s="8">
        <v>42709</v>
      </c>
      <c r="E153" s="8">
        <v>42713</v>
      </c>
      <c r="F153" s="7" t="s">
        <v>294</v>
      </c>
      <c r="G153" s="7" t="s">
        <v>18</v>
      </c>
      <c r="H153" s="7">
        <v>1951.84</v>
      </c>
      <c r="I153" s="9">
        <f t="shared" si="5"/>
        <v>12</v>
      </c>
      <c r="J153">
        <f t="shared" si="6"/>
        <v>4</v>
      </c>
    </row>
    <row r="154" spans="2:10" ht="14.3" customHeight="1">
      <c r="B154" s="6">
        <v>151</v>
      </c>
      <c r="C154" s="7" t="s">
        <v>293</v>
      </c>
      <c r="D154" s="8">
        <v>42709</v>
      </c>
      <c r="E154" s="8">
        <v>42713</v>
      </c>
      <c r="F154" s="7" t="s">
        <v>294</v>
      </c>
      <c r="G154" s="7" t="s">
        <v>297</v>
      </c>
      <c r="H154" s="7">
        <v>171.55</v>
      </c>
      <c r="I154" s="9">
        <f t="shared" si="5"/>
        <v>12</v>
      </c>
      <c r="J154">
        <f t="shared" si="6"/>
        <v>4</v>
      </c>
    </row>
    <row r="155" spans="2:10" ht="14.3" customHeight="1">
      <c r="B155" s="6">
        <v>152</v>
      </c>
      <c r="C155" s="7" t="s">
        <v>298</v>
      </c>
      <c r="D155" s="8">
        <v>42442</v>
      </c>
      <c r="E155" s="8">
        <v>42445</v>
      </c>
      <c r="F155" s="7" t="s">
        <v>299</v>
      </c>
      <c r="G155" s="7" t="s">
        <v>300</v>
      </c>
      <c r="H155" s="7">
        <v>157.91999999999999</v>
      </c>
      <c r="I155" s="9">
        <f t="shared" si="5"/>
        <v>3</v>
      </c>
      <c r="J155">
        <f t="shared" si="6"/>
        <v>3</v>
      </c>
    </row>
    <row r="156" spans="2:10" ht="14.3" customHeight="1">
      <c r="B156" s="6">
        <v>153</v>
      </c>
      <c r="C156" s="7" t="s">
        <v>298</v>
      </c>
      <c r="D156" s="8">
        <v>42442</v>
      </c>
      <c r="E156" s="8">
        <v>42445</v>
      </c>
      <c r="F156" s="7" t="s">
        <v>299</v>
      </c>
      <c r="G156" s="7" t="s">
        <v>301</v>
      </c>
      <c r="H156" s="7">
        <v>203.184</v>
      </c>
      <c r="I156" s="9">
        <f t="shared" si="5"/>
        <v>3</v>
      </c>
      <c r="J156">
        <f t="shared" si="6"/>
        <v>3</v>
      </c>
    </row>
    <row r="157" spans="2:10" ht="14.3" customHeight="1">
      <c r="B157" s="6">
        <v>154</v>
      </c>
      <c r="C157" s="7" t="s">
        <v>302</v>
      </c>
      <c r="D157" s="8">
        <v>42155</v>
      </c>
      <c r="E157" s="8">
        <v>42157</v>
      </c>
      <c r="F157" s="7" t="s">
        <v>303</v>
      </c>
      <c r="G157" s="7" t="s">
        <v>304</v>
      </c>
      <c r="H157" s="7">
        <v>58.379999999999995</v>
      </c>
      <c r="I157" s="9">
        <f t="shared" si="5"/>
        <v>5</v>
      </c>
      <c r="J157">
        <f t="shared" si="6"/>
        <v>2</v>
      </c>
    </row>
    <row r="158" spans="2:10" ht="14.3" customHeight="1">
      <c r="B158" s="6">
        <v>155</v>
      </c>
      <c r="C158" s="7" t="s">
        <v>302</v>
      </c>
      <c r="D158" s="8">
        <v>42155</v>
      </c>
      <c r="E158" s="8">
        <v>42157</v>
      </c>
      <c r="F158" s="7" t="s">
        <v>303</v>
      </c>
      <c r="G158" s="7" t="s">
        <v>305</v>
      </c>
      <c r="H158" s="7">
        <v>105.52</v>
      </c>
      <c r="I158" s="9">
        <f t="shared" si="5"/>
        <v>5</v>
      </c>
      <c r="J158">
        <f t="shared" si="6"/>
        <v>2</v>
      </c>
    </row>
    <row r="159" spans="2:10" ht="14.3" customHeight="1">
      <c r="B159" s="6">
        <v>156</v>
      </c>
      <c r="C159" s="7" t="s">
        <v>302</v>
      </c>
      <c r="D159" s="8">
        <v>42155</v>
      </c>
      <c r="E159" s="8">
        <v>42157</v>
      </c>
      <c r="F159" s="7" t="s">
        <v>303</v>
      </c>
      <c r="G159" s="7" t="s">
        <v>306</v>
      </c>
      <c r="H159" s="7">
        <v>80.88</v>
      </c>
      <c r="I159" s="9">
        <f t="shared" si="5"/>
        <v>5</v>
      </c>
      <c r="J159">
        <f t="shared" si="6"/>
        <v>2</v>
      </c>
    </row>
    <row r="160" spans="2:10" ht="14.3" customHeight="1">
      <c r="B160" s="6">
        <v>157</v>
      </c>
      <c r="C160" s="7" t="s">
        <v>307</v>
      </c>
      <c r="D160" s="8">
        <v>42152</v>
      </c>
      <c r="E160" s="8">
        <v>42158</v>
      </c>
      <c r="F160" s="7" t="s">
        <v>308</v>
      </c>
      <c r="G160" s="7" t="s">
        <v>309</v>
      </c>
      <c r="H160" s="7">
        <v>6.63</v>
      </c>
      <c r="I160" s="9">
        <f t="shared" si="5"/>
        <v>5</v>
      </c>
      <c r="J160">
        <f t="shared" si="6"/>
        <v>6</v>
      </c>
    </row>
    <row r="161" spans="2:10" ht="14.3" customHeight="1">
      <c r="B161" s="6">
        <v>158</v>
      </c>
      <c r="C161" s="7" t="s">
        <v>310</v>
      </c>
      <c r="D161" s="8">
        <v>41699</v>
      </c>
      <c r="E161" s="8">
        <v>41704</v>
      </c>
      <c r="F161" s="7" t="s">
        <v>311</v>
      </c>
      <c r="G161" s="7" t="s">
        <v>254</v>
      </c>
      <c r="H161" s="7">
        <v>457.56800000000004</v>
      </c>
      <c r="I161" s="9">
        <f t="shared" si="5"/>
        <v>3</v>
      </c>
      <c r="J161">
        <f t="shared" si="6"/>
        <v>5</v>
      </c>
    </row>
    <row r="162" spans="2:10" ht="14.3" customHeight="1">
      <c r="B162" s="6">
        <v>159</v>
      </c>
      <c r="C162" s="7" t="s">
        <v>312</v>
      </c>
      <c r="D162" s="8">
        <v>42694</v>
      </c>
      <c r="E162" s="8">
        <v>42698</v>
      </c>
      <c r="F162" s="7" t="s">
        <v>313</v>
      </c>
      <c r="G162" s="7" t="s">
        <v>314</v>
      </c>
      <c r="H162" s="7">
        <v>14.62</v>
      </c>
      <c r="I162" s="9">
        <f t="shared" si="5"/>
        <v>11</v>
      </c>
      <c r="J162">
        <f t="shared" si="6"/>
        <v>4</v>
      </c>
    </row>
    <row r="163" spans="2:10" ht="14.3" customHeight="1">
      <c r="B163" s="6">
        <v>160</v>
      </c>
      <c r="C163" s="7" t="s">
        <v>312</v>
      </c>
      <c r="D163" s="8">
        <v>42694</v>
      </c>
      <c r="E163" s="8">
        <v>42698</v>
      </c>
      <c r="F163" s="7" t="s">
        <v>313</v>
      </c>
      <c r="G163" s="7" t="s">
        <v>315</v>
      </c>
      <c r="H163" s="7">
        <v>944.93000000000006</v>
      </c>
      <c r="I163" s="9">
        <f t="shared" si="5"/>
        <v>11</v>
      </c>
      <c r="J163">
        <f t="shared" si="6"/>
        <v>4</v>
      </c>
    </row>
    <row r="164" spans="2:10" ht="14.3" customHeight="1">
      <c r="B164" s="6">
        <v>161</v>
      </c>
      <c r="C164" s="7" t="s">
        <v>316</v>
      </c>
      <c r="D164" s="8">
        <v>42501</v>
      </c>
      <c r="E164" s="8">
        <v>42502</v>
      </c>
      <c r="F164" s="7" t="s">
        <v>317</v>
      </c>
      <c r="G164" s="7" t="s">
        <v>318</v>
      </c>
      <c r="H164" s="7">
        <v>5.98</v>
      </c>
      <c r="I164" s="9">
        <f t="shared" si="5"/>
        <v>5</v>
      </c>
      <c r="J164">
        <f t="shared" si="6"/>
        <v>1</v>
      </c>
    </row>
    <row r="165" spans="2:10" ht="14.3" customHeight="1">
      <c r="B165" s="6">
        <v>162</v>
      </c>
      <c r="C165" s="7" t="s">
        <v>319</v>
      </c>
      <c r="D165" s="8">
        <v>42366</v>
      </c>
      <c r="E165" s="8">
        <v>42369</v>
      </c>
      <c r="F165" s="7" t="s">
        <v>320</v>
      </c>
      <c r="G165" s="7" t="s">
        <v>321</v>
      </c>
      <c r="H165" s="7">
        <v>54.384000000000007</v>
      </c>
      <c r="I165" s="9">
        <f t="shared" si="5"/>
        <v>12</v>
      </c>
      <c r="J165">
        <f t="shared" si="6"/>
        <v>3</v>
      </c>
    </row>
    <row r="166" spans="2:10" ht="14.3" customHeight="1">
      <c r="B166" s="6">
        <v>163</v>
      </c>
      <c r="C166" s="7" t="s">
        <v>322</v>
      </c>
      <c r="D166" s="8">
        <v>42690</v>
      </c>
      <c r="E166" s="8">
        <v>42694</v>
      </c>
      <c r="F166" s="7" t="s">
        <v>323</v>
      </c>
      <c r="G166" s="7" t="s">
        <v>324</v>
      </c>
      <c r="H166" s="7">
        <v>28.4</v>
      </c>
      <c r="I166" s="9">
        <f t="shared" si="5"/>
        <v>11</v>
      </c>
      <c r="J166">
        <f t="shared" si="6"/>
        <v>4</v>
      </c>
    </row>
    <row r="167" spans="2:10" ht="14.3" customHeight="1">
      <c r="B167" s="6">
        <v>164</v>
      </c>
      <c r="C167" s="7" t="s">
        <v>325</v>
      </c>
      <c r="D167" s="8">
        <v>42681</v>
      </c>
      <c r="E167" s="8">
        <v>42685</v>
      </c>
      <c r="F167" s="7" t="s">
        <v>326</v>
      </c>
      <c r="G167" s="7" t="s">
        <v>327</v>
      </c>
      <c r="H167" s="7">
        <v>27.680000000000003</v>
      </c>
      <c r="I167" s="9">
        <f t="shared" si="5"/>
        <v>11</v>
      </c>
      <c r="J167">
        <f t="shared" si="6"/>
        <v>4</v>
      </c>
    </row>
    <row r="168" spans="2:10" ht="14.3" customHeight="1">
      <c r="B168" s="6">
        <v>165</v>
      </c>
      <c r="C168" s="7" t="s">
        <v>328</v>
      </c>
      <c r="D168" s="8">
        <v>41890</v>
      </c>
      <c r="E168" s="8">
        <v>41894</v>
      </c>
      <c r="F168" s="7" t="s">
        <v>329</v>
      </c>
      <c r="G168" s="7" t="s">
        <v>330</v>
      </c>
      <c r="H168" s="7">
        <v>9.9359999999999999</v>
      </c>
      <c r="I168" s="9">
        <f t="shared" si="5"/>
        <v>9</v>
      </c>
      <c r="J168">
        <f t="shared" si="6"/>
        <v>4</v>
      </c>
    </row>
    <row r="169" spans="2:10" ht="14.3" customHeight="1">
      <c r="B169" s="6">
        <v>166</v>
      </c>
      <c r="C169" s="7" t="s">
        <v>328</v>
      </c>
      <c r="D169" s="8">
        <v>41890</v>
      </c>
      <c r="E169" s="8">
        <v>41894</v>
      </c>
      <c r="F169" s="7" t="s">
        <v>329</v>
      </c>
      <c r="G169" s="7" t="s">
        <v>331</v>
      </c>
      <c r="H169" s="7">
        <v>8159.9519999999993</v>
      </c>
      <c r="I169" s="9">
        <f t="shared" si="5"/>
        <v>9</v>
      </c>
      <c r="J169">
        <f t="shared" si="6"/>
        <v>4</v>
      </c>
    </row>
    <row r="170" spans="2:10" ht="14.3" customHeight="1">
      <c r="B170" s="6">
        <v>167</v>
      </c>
      <c r="C170" s="7" t="s">
        <v>328</v>
      </c>
      <c r="D170" s="8">
        <v>41890</v>
      </c>
      <c r="E170" s="8">
        <v>41894</v>
      </c>
      <c r="F170" s="7" t="s">
        <v>329</v>
      </c>
      <c r="G170" s="7" t="s">
        <v>332</v>
      </c>
      <c r="H170" s="7">
        <v>275.928</v>
      </c>
      <c r="I170" s="9">
        <f t="shared" si="5"/>
        <v>9</v>
      </c>
      <c r="J170">
        <f t="shared" si="6"/>
        <v>4</v>
      </c>
    </row>
    <row r="171" spans="2:10" ht="14.3" customHeight="1">
      <c r="B171" s="6">
        <v>168</v>
      </c>
      <c r="C171" s="7" t="s">
        <v>328</v>
      </c>
      <c r="D171" s="8">
        <v>41890</v>
      </c>
      <c r="E171" s="8">
        <v>41894</v>
      </c>
      <c r="F171" s="7" t="s">
        <v>329</v>
      </c>
      <c r="G171" s="7" t="s">
        <v>333</v>
      </c>
      <c r="H171" s="7">
        <v>1740.0599999999997</v>
      </c>
      <c r="I171" s="9">
        <f t="shared" si="5"/>
        <v>9</v>
      </c>
      <c r="J171">
        <f t="shared" si="6"/>
        <v>4</v>
      </c>
    </row>
    <row r="172" spans="2:10" ht="14.3" customHeight="1">
      <c r="B172" s="6">
        <v>169</v>
      </c>
      <c r="C172" s="7" t="s">
        <v>328</v>
      </c>
      <c r="D172" s="8">
        <v>41890</v>
      </c>
      <c r="E172" s="8">
        <v>41894</v>
      </c>
      <c r="F172" s="7" t="s">
        <v>329</v>
      </c>
      <c r="G172" s="7" t="s">
        <v>334</v>
      </c>
      <c r="H172" s="7">
        <v>32.064</v>
      </c>
      <c r="I172" s="9">
        <f t="shared" si="5"/>
        <v>9</v>
      </c>
      <c r="J172">
        <f t="shared" si="6"/>
        <v>4</v>
      </c>
    </row>
    <row r="173" spans="2:10" ht="14.3" customHeight="1">
      <c r="B173" s="6">
        <v>170</v>
      </c>
      <c r="C173" s="7" t="s">
        <v>328</v>
      </c>
      <c r="D173" s="8">
        <v>41890</v>
      </c>
      <c r="E173" s="8">
        <v>41894</v>
      </c>
      <c r="F173" s="7" t="s">
        <v>329</v>
      </c>
      <c r="G173" s="7" t="s">
        <v>335</v>
      </c>
      <c r="H173" s="7">
        <v>177.97999999999996</v>
      </c>
      <c r="I173" s="9">
        <f t="shared" si="5"/>
        <v>9</v>
      </c>
      <c r="J173">
        <f t="shared" si="6"/>
        <v>4</v>
      </c>
    </row>
    <row r="174" spans="2:10" ht="14.3" customHeight="1">
      <c r="B174" s="6">
        <v>171</v>
      </c>
      <c r="C174" s="7" t="s">
        <v>328</v>
      </c>
      <c r="D174" s="8">
        <v>41890</v>
      </c>
      <c r="E174" s="8">
        <v>41894</v>
      </c>
      <c r="F174" s="7" t="s">
        <v>329</v>
      </c>
      <c r="G174" s="7" t="s">
        <v>336</v>
      </c>
      <c r="H174" s="7">
        <v>143.976</v>
      </c>
      <c r="I174" s="9">
        <f t="shared" si="5"/>
        <v>9</v>
      </c>
      <c r="J174">
        <f t="shared" si="6"/>
        <v>4</v>
      </c>
    </row>
    <row r="175" spans="2:10" ht="14.3" customHeight="1">
      <c r="B175" s="6">
        <v>172</v>
      </c>
      <c r="C175" s="7" t="s">
        <v>337</v>
      </c>
      <c r="D175" s="8">
        <v>41856</v>
      </c>
      <c r="E175" s="8">
        <v>41860</v>
      </c>
      <c r="F175" s="7" t="s">
        <v>338</v>
      </c>
      <c r="G175" s="7" t="s">
        <v>339</v>
      </c>
      <c r="H175" s="7">
        <v>20.94</v>
      </c>
      <c r="I175" s="9">
        <f t="shared" si="5"/>
        <v>8</v>
      </c>
      <c r="J175">
        <f t="shared" si="6"/>
        <v>4</v>
      </c>
    </row>
    <row r="176" spans="2:10" ht="14.3" customHeight="1">
      <c r="B176" s="6">
        <v>173</v>
      </c>
      <c r="C176" s="7" t="s">
        <v>337</v>
      </c>
      <c r="D176" s="8">
        <v>41856</v>
      </c>
      <c r="E176" s="8">
        <v>41860</v>
      </c>
      <c r="F176" s="7" t="s">
        <v>338</v>
      </c>
      <c r="G176" s="7" t="s">
        <v>340</v>
      </c>
      <c r="H176" s="7">
        <v>110.96</v>
      </c>
      <c r="I176" s="9">
        <f t="shared" si="5"/>
        <v>8</v>
      </c>
      <c r="J176">
        <f t="shared" si="6"/>
        <v>4</v>
      </c>
    </row>
    <row r="177" spans="2:10" ht="14.3" customHeight="1">
      <c r="B177" s="6">
        <v>174</v>
      </c>
      <c r="C177" s="7" t="s">
        <v>337</v>
      </c>
      <c r="D177" s="8">
        <v>41856</v>
      </c>
      <c r="E177" s="8">
        <v>41860</v>
      </c>
      <c r="F177" s="7" t="s">
        <v>338</v>
      </c>
      <c r="G177" s="7" t="s">
        <v>341</v>
      </c>
      <c r="H177" s="7">
        <v>340.14400000000006</v>
      </c>
      <c r="I177" s="9">
        <f t="shared" si="5"/>
        <v>8</v>
      </c>
      <c r="J177">
        <f t="shared" si="6"/>
        <v>4</v>
      </c>
    </row>
    <row r="178" spans="2:10" ht="14.3" customHeight="1">
      <c r="B178" s="6">
        <v>175</v>
      </c>
      <c r="C178" s="7" t="s">
        <v>342</v>
      </c>
      <c r="D178" s="8">
        <v>41896</v>
      </c>
      <c r="E178" s="8">
        <v>41901</v>
      </c>
      <c r="F178" s="7" t="s">
        <v>343</v>
      </c>
      <c r="G178" s="7" t="s">
        <v>344</v>
      </c>
      <c r="H178" s="7">
        <v>52.447999999999993</v>
      </c>
      <c r="I178" s="9">
        <f t="shared" si="5"/>
        <v>9</v>
      </c>
      <c r="J178">
        <f t="shared" si="6"/>
        <v>5</v>
      </c>
    </row>
    <row r="179" spans="2:10" ht="14.3" customHeight="1">
      <c r="B179" s="6">
        <v>176</v>
      </c>
      <c r="C179" s="7" t="s">
        <v>342</v>
      </c>
      <c r="D179" s="8">
        <v>41896</v>
      </c>
      <c r="E179" s="8">
        <v>41901</v>
      </c>
      <c r="F179" s="7" t="s">
        <v>343</v>
      </c>
      <c r="G179" s="7" t="s">
        <v>345</v>
      </c>
      <c r="H179" s="7">
        <v>20.16</v>
      </c>
      <c r="I179" s="9">
        <f t="shared" si="5"/>
        <v>9</v>
      </c>
      <c r="J179">
        <f t="shared" si="6"/>
        <v>5</v>
      </c>
    </row>
    <row r="180" spans="2:10" ht="14.3" customHeight="1">
      <c r="B180" s="6">
        <v>177</v>
      </c>
      <c r="C180" s="7" t="s">
        <v>346</v>
      </c>
      <c r="D180" s="8">
        <v>42846</v>
      </c>
      <c r="E180" s="8">
        <v>42850</v>
      </c>
      <c r="F180" s="7" t="s">
        <v>347</v>
      </c>
      <c r="G180" s="7" t="s">
        <v>348</v>
      </c>
      <c r="H180" s="7">
        <v>97.263999999999982</v>
      </c>
      <c r="I180" s="9">
        <f t="shared" si="5"/>
        <v>4</v>
      </c>
      <c r="J180">
        <f t="shared" si="6"/>
        <v>4</v>
      </c>
    </row>
    <row r="181" spans="2:10" ht="14.3" customHeight="1">
      <c r="B181" s="6">
        <v>178</v>
      </c>
      <c r="C181" s="7" t="s">
        <v>349</v>
      </c>
      <c r="D181" s="8">
        <v>42329</v>
      </c>
      <c r="E181" s="8">
        <v>42331</v>
      </c>
      <c r="F181" s="7" t="s">
        <v>151</v>
      </c>
      <c r="G181" s="7" t="s">
        <v>350</v>
      </c>
      <c r="H181" s="7">
        <v>396.80200000000002</v>
      </c>
      <c r="I181" s="9">
        <f t="shared" si="5"/>
        <v>11</v>
      </c>
      <c r="J181">
        <f t="shared" si="6"/>
        <v>2</v>
      </c>
    </row>
    <row r="182" spans="2:10" ht="14.3" customHeight="1">
      <c r="B182" s="6">
        <v>179</v>
      </c>
      <c r="C182" s="7" t="s">
        <v>349</v>
      </c>
      <c r="D182" s="8">
        <v>42329</v>
      </c>
      <c r="E182" s="8">
        <v>42331</v>
      </c>
      <c r="F182" s="7" t="s">
        <v>151</v>
      </c>
      <c r="G182" s="7" t="s">
        <v>351</v>
      </c>
      <c r="H182" s="7">
        <v>15.88</v>
      </c>
      <c r="I182" s="9">
        <f t="shared" si="5"/>
        <v>11</v>
      </c>
      <c r="J182">
        <f t="shared" si="6"/>
        <v>2</v>
      </c>
    </row>
    <row r="183" spans="2:10" ht="14.3" customHeight="1">
      <c r="B183" s="6">
        <v>180</v>
      </c>
      <c r="C183" s="7" t="s">
        <v>352</v>
      </c>
      <c r="D183" s="8">
        <v>42353</v>
      </c>
      <c r="E183" s="8">
        <v>42357</v>
      </c>
      <c r="F183" s="7" t="s">
        <v>353</v>
      </c>
      <c r="G183" s="7" t="s">
        <v>354</v>
      </c>
      <c r="H183" s="7">
        <v>3.28</v>
      </c>
      <c r="I183" s="9">
        <f t="shared" si="5"/>
        <v>12</v>
      </c>
      <c r="J183">
        <f t="shared" si="6"/>
        <v>4</v>
      </c>
    </row>
    <row r="184" spans="2:10" ht="14.3" customHeight="1">
      <c r="B184" s="6">
        <v>181</v>
      </c>
      <c r="C184" s="7" t="s">
        <v>355</v>
      </c>
      <c r="D184" s="8">
        <v>41978</v>
      </c>
      <c r="E184" s="8">
        <v>41982</v>
      </c>
      <c r="F184" s="7" t="s">
        <v>356</v>
      </c>
      <c r="G184" s="7" t="s">
        <v>357</v>
      </c>
      <c r="H184" s="7">
        <v>24.816000000000003</v>
      </c>
      <c r="I184" s="9">
        <f t="shared" si="5"/>
        <v>12</v>
      </c>
      <c r="J184">
        <f t="shared" si="6"/>
        <v>4</v>
      </c>
    </row>
    <row r="185" spans="2:10" ht="14.3" customHeight="1">
      <c r="B185" s="6">
        <v>182</v>
      </c>
      <c r="C185" s="7" t="s">
        <v>355</v>
      </c>
      <c r="D185" s="8">
        <v>41978</v>
      </c>
      <c r="E185" s="8">
        <v>41982</v>
      </c>
      <c r="F185" s="7" t="s">
        <v>356</v>
      </c>
      <c r="G185" s="7" t="s">
        <v>358</v>
      </c>
      <c r="H185" s="7">
        <v>408.74399999999997</v>
      </c>
      <c r="I185" s="9">
        <f t="shared" si="5"/>
        <v>12</v>
      </c>
      <c r="J185">
        <f t="shared" si="6"/>
        <v>4</v>
      </c>
    </row>
    <row r="186" spans="2:10" ht="14.3" customHeight="1">
      <c r="B186" s="6">
        <v>183</v>
      </c>
      <c r="C186" s="7" t="s">
        <v>359</v>
      </c>
      <c r="D186" s="8">
        <v>41962</v>
      </c>
      <c r="E186" s="8">
        <v>41967</v>
      </c>
      <c r="F186" s="7" t="s">
        <v>360</v>
      </c>
      <c r="G186" s="7" t="s">
        <v>361</v>
      </c>
      <c r="H186" s="7">
        <v>503.96</v>
      </c>
      <c r="I186" s="9">
        <f t="shared" si="5"/>
        <v>11</v>
      </c>
      <c r="J186">
        <f t="shared" si="6"/>
        <v>5</v>
      </c>
    </row>
    <row r="187" spans="2:10" ht="14.3" customHeight="1">
      <c r="B187" s="6">
        <v>184</v>
      </c>
      <c r="C187" s="7" t="s">
        <v>359</v>
      </c>
      <c r="D187" s="8">
        <v>41962</v>
      </c>
      <c r="E187" s="8">
        <v>41967</v>
      </c>
      <c r="F187" s="7" t="s">
        <v>360</v>
      </c>
      <c r="G187" s="7" t="s">
        <v>362</v>
      </c>
      <c r="H187" s="7">
        <v>149.94999999999999</v>
      </c>
      <c r="I187" s="9">
        <f t="shared" si="5"/>
        <v>11</v>
      </c>
      <c r="J187">
        <f t="shared" si="6"/>
        <v>5</v>
      </c>
    </row>
    <row r="188" spans="2:10" ht="14.3" customHeight="1">
      <c r="B188" s="6">
        <v>185</v>
      </c>
      <c r="C188" s="7" t="s">
        <v>359</v>
      </c>
      <c r="D188" s="8">
        <v>41962</v>
      </c>
      <c r="E188" s="8">
        <v>41967</v>
      </c>
      <c r="F188" s="7" t="s">
        <v>360</v>
      </c>
      <c r="G188" s="7" t="s">
        <v>363</v>
      </c>
      <c r="H188" s="7">
        <v>29</v>
      </c>
      <c r="I188" s="9">
        <f t="shared" si="5"/>
        <v>11</v>
      </c>
      <c r="J188">
        <f t="shared" si="6"/>
        <v>5</v>
      </c>
    </row>
    <row r="189" spans="2:10" ht="14.3" customHeight="1">
      <c r="B189" s="6">
        <v>186</v>
      </c>
      <c r="C189" s="7" t="s">
        <v>364</v>
      </c>
      <c r="D189" s="8">
        <v>42702</v>
      </c>
      <c r="E189" s="8">
        <v>42706</v>
      </c>
      <c r="F189" s="7" t="s">
        <v>365</v>
      </c>
      <c r="G189" s="7" t="s">
        <v>366</v>
      </c>
      <c r="H189" s="7">
        <v>7.16</v>
      </c>
      <c r="I189" s="9">
        <f t="shared" si="5"/>
        <v>11</v>
      </c>
      <c r="J189">
        <f t="shared" si="6"/>
        <v>4</v>
      </c>
    </row>
    <row r="190" spans="2:10" ht="14.3" customHeight="1">
      <c r="B190" s="6">
        <v>187</v>
      </c>
      <c r="C190" s="7" t="s">
        <v>367</v>
      </c>
      <c r="D190" s="8">
        <v>41877</v>
      </c>
      <c r="E190" s="8">
        <v>41881</v>
      </c>
      <c r="F190" s="7" t="s">
        <v>368</v>
      </c>
      <c r="G190" s="7" t="s">
        <v>369</v>
      </c>
      <c r="H190" s="7">
        <v>176.8</v>
      </c>
      <c r="I190" s="9">
        <f t="shared" si="5"/>
        <v>8</v>
      </c>
      <c r="J190">
        <f t="shared" si="6"/>
        <v>4</v>
      </c>
    </row>
    <row r="191" spans="2:10" ht="14.3" customHeight="1">
      <c r="B191" s="6">
        <v>188</v>
      </c>
      <c r="C191" s="7" t="s">
        <v>370</v>
      </c>
      <c r="D191" s="8">
        <v>42567</v>
      </c>
      <c r="E191" s="8">
        <v>42573</v>
      </c>
      <c r="F191" s="7" t="s">
        <v>371</v>
      </c>
      <c r="G191" s="7" t="s">
        <v>372</v>
      </c>
      <c r="H191" s="7">
        <v>37.224000000000004</v>
      </c>
      <c r="I191" s="9">
        <f t="shared" si="5"/>
        <v>7</v>
      </c>
      <c r="J191">
        <f t="shared" si="6"/>
        <v>6</v>
      </c>
    </row>
    <row r="192" spans="2:10" ht="14.3" customHeight="1">
      <c r="B192" s="6">
        <v>189</v>
      </c>
      <c r="C192" s="7" t="s">
        <v>370</v>
      </c>
      <c r="D192" s="8">
        <v>42567</v>
      </c>
      <c r="E192" s="8">
        <v>42573</v>
      </c>
      <c r="F192" s="7" t="s">
        <v>371</v>
      </c>
      <c r="G192" s="7" t="s">
        <v>304</v>
      </c>
      <c r="H192" s="7">
        <v>20.016000000000002</v>
      </c>
      <c r="I192" s="9">
        <f t="shared" si="5"/>
        <v>7</v>
      </c>
      <c r="J192">
        <f t="shared" si="6"/>
        <v>6</v>
      </c>
    </row>
    <row r="193" spans="2:10" ht="14.3" customHeight="1">
      <c r="B193" s="6">
        <v>190</v>
      </c>
      <c r="C193" s="7" t="s">
        <v>373</v>
      </c>
      <c r="D193" s="8">
        <v>42289</v>
      </c>
      <c r="E193" s="8">
        <v>42291</v>
      </c>
      <c r="F193" s="7" t="s">
        <v>374</v>
      </c>
      <c r="G193" s="7" t="s">
        <v>375</v>
      </c>
      <c r="H193" s="7">
        <v>899.13600000000008</v>
      </c>
      <c r="I193" s="9">
        <f t="shared" si="5"/>
        <v>10</v>
      </c>
      <c r="J193">
        <f t="shared" si="6"/>
        <v>2</v>
      </c>
    </row>
    <row r="194" spans="2:10" ht="14.3" customHeight="1">
      <c r="B194" s="6">
        <v>191</v>
      </c>
      <c r="C194" s="7" t="s">
        <v>373</v>
      </c>
      <c r="D194" s="8">
        <v>42289</v>
      </c>
      <c r="E194" s="8">
        <v>42291</v>
      </c>
      <c r="F194" s="7" t="s">
        <v>374</v>
      </c>
      <c r="G194" s="7" t="s">
        <v>376</v>
      </c>
      <c r="H194" s="7">
        <v>71.760000000000005</v>
      </c>
      <c r="I194" s="9">
        <f t="shared" si="5"/>
        <v>10</v>
      </c>
      <c r="J194">
        <f t="shared" si="6"/>
        <v>2</v>
      </c>
    </row>
    <row r="195" spans="2:10" ht="14.3" customHeight="1">
      <c r="B195" s="6">
        <v>192</v>
      </c>
      <c r="C195" s="7" t="s">
        <v>373</v>
      </c>
      <c r="D195" s="8">
        <v>42289</v>
      </c>
      <c r="E195" s="8">
        <v>42291</v>
      </c>
      <c r="F195" s="7" t="s">
        <v>374</v>
      </c>
      <c r="G195" s="7" t="s">
        <v>377</v>
      </c>
      <c r="H195" s="7">
        <v>51.84</v>
      </c>
      <c r="I195" s="9">
        <f t="shared" si="5"/>
        <v>10</v>
      </c>
      <c r="J195">
        <f t="shared" si="6"/>
        <v>2</v>
      </c>
    </row>
    <row r="196" spans="2:10" ht="14.3" customHeight="1">
      <c r="B196" s="6">
        <v>193</v>
      </c>
      <c r="C196" s="7" t="s">
        <v>373</v>
      </c>
      <c r="D196" s="8">
        <v>42289</v>
      </c>
      <c r="E196" s="8">
        <v>42291</v>
      </c>
      <c r="F196" s="7" t="s">
        <v>374</v>
      </c>
      <c r="G196" s="7" t="s">
        <v>88</v>
      </c>
      <c r="H196" s="7">
        <v>626.35200000000009</v>
      </c>
      <c r="I196" s="9">
        <f t="shared" si="5"/>
        <v>10</v>
      </c>
      <c r="J196">
        <f t="shared" si="6"/>
        <v>2</v>
      </c>
    </row>
    <row r="197" spans="2:10" ht="14.3" customHeight="1">
      <c r="B197" s="6">
        <v>194</v>
      </c>
      <c r="C197" s="7" t="s">
        <v>373</v>
      </c>
      <c r="D197" s="8">
        <v>42289</v>
      </c>
      <c r="E197" s="8">
        <v>42291</v>
      </c>
      <c r="F197" s="7" t="s">
        <v>374</v>
      </c>
      <c r="G197" s="7" t="s">
        <v>378</v>
      </c>
      <c r="H197" s="7">
        <v>19.899999999999999</v>
      </c>
      <c r="I197" s="9">
        <f t="shared" ref="I197:I260" si="7">MONTH(D197)</f>
        <v>10</v>
      </c>
      <c r="J197">
        <f t="shared" ref="J197:J260" si="8">DATEDIF(D197,E197,"D")</f>
        <v>2</v>
      </c>
    </row>
    <row r="198" spans="2:10" ht="14.3" customHeight="1">
      <c r="B198" s="6">
        <v>195</v>
      </c>
      <c r="C198" s="7" t="s">
        <v>379</v>
      </c>
      <c r="D198" s="8">
        <v>42308</v>
      </c>
      <c r="E198" s="8">
        <v>42314</v>
      </c>
      <c r="F198" s="7" t="s">
        <v>380</v>
      </c>
      <c r="G198" s="7" t="s">
        <v>74</v>
      </c>
      <c r="H198" s="7">
        <v>14.280000000000001</v>
      </c>
      <c r="I198" s="9">
        <f t="shared" si="7"/>
        <v>10</v>
      </c>
      <c r="J198">
        <f t="shared" si="8"/>
        <v>6</v>
      </c>
    </row>
    <row r="199" spans="2:10" ht="14.3" customHeight="1">
      <c r="B199" s="6">
        <v>196</v>
      </c>
      <c r="C199" s="7" t="s">
        <v>381</v>
      </c>
      <c r="D199" s="8">
        <v>41719</v>
      </c>
      <c r="E199" s="8">
        <v>41723</v>
      </c>
      <c r="F199" s="7" t="s">
        <v>382</v>
      </c>
      <c r="G199" s="7" t="s">
        <v>383</v>
      </c>
      <c r="H199" s="7">
        <v>7.4080000000000004</v>
      </c>
      <c r="I199" s="9">
        <f t="shared" si="7"/>
        <v>3</v>
      </c>
      <c r="J199">
        <f t="shared" si="8"/>
        <v>4</v>
      </c>
    </row>
    <row r="200" spans="2:10" ht="14.3" customHeight="1">
      <c r="B200" s="6">
        <v>197</v>
      </c>
      <c r="C200" s="7" t="s">
        <v>381</v>
      </c>
      <c r="D200" s="8">
        <v>41719</v>
      </c>
      <c r="E200" s="8">
        <v>41723</v>
      </c>
      <c r="F200" s="7" t="s">
        <v>382</v>
      </c>
      <c r="G200" s="7" t="s">
        <v>384</v>
      </c>
      <c r="H200" s="7">
        <v>6.048</v>
      </c>
      <c r="I200" s="9">
        <f t="shared" si="7"/>
        <v>3</v>
      </c>
      <c r="J200">
        <f t="shared" si="8"/>
        <v>4</v>
      </c>
    </row>
    <row r="201" spans="2:10" ht="14.3" customHeight="1">
      <c r="B201" s="6">
        <v>198</v>
      </c>
      <c r="C201" s="7" t="s">
        <v>385</v>
      </c>
      <c r="D201" s="8">
        <v>43045</v>
      </c>
      <c r="E201" s="8">
        <v>43052</v>
      </c>
      <c r="F201" s="7" t="s">
        <v>386</v>
      </c>
      <c r="G201" s="7" t="s">
        <v>387</v>
      </c>
      <c r="H201" s="7">
        <v>46.26</v>
      </c>
      <c r="I201" s="9">
        <f t="shared" si="7"/>
        <v>11</v>
      </c>
      <c r="J201">
        <f t="shared" si="8"/>
        <v>7</v>
      </c>
    </row>
    <row r="202" spans="2:10" ht="14.3" customHeight="1">
      <c r="B202" s="6">
        <v>199</v>
      </c>
      <c r="C202" s="7" t="s">
        <v>388</v>
      </c>
      <c r="D202" s="8">
        <v>42922</v>
      </c>
      <c r="E202" s="8">
        <v>42929</v>
      </c>
      <c r="F202" s="7" t="s">
        <v>389</v>
      </c>
      <c r="G202" s="7" t="s">
        <v>390</v>
      </c>
      <c r="H202" s="7">
        <v>2.9460000000000006</v>
      </c>
      <c r="I202" s="9">
        <f t="shared" si="7"/>
        <v>7</v>
      </c>
      <c r="J202">
        <f t="shared" si="8"/>
        <v>7</v>
      </c>
    </row>
    <row r="203" spans="2:10" ht="14.3" customHeight="1">
      <c r="B203" s="6">
        <v>200</v>
      </c>
      <c r="C203" s="7" t="s">
        <v>388</v>
      </c>
      <c r="D203" s="8">
        <v>42922</v>
      </c>
      <c r="E203" s="8">
        <v>42929</v>
      </c>
      <c r="F203" s="7" t="s">
        <v>389</v>
      </c>
      <c r="G203" s="7" t="s">
        <v>391</v>
      </c>
      <c r="H203" s="7">
        <v>16.056000000000001</v>
      </c>
      <c r="I203" s="9">
        <f t="shared" si="7"/>
        <v>7</v>
      </c>
      <c r="J203">
        <f t="shared" si="8"/>
        <v>7</v>
      </c>
    </row>
    <row r="204" spans="2:10" ht="14.3" customHeight="1">
      <c r="B204" s="6">
        <v>201</v>
      </c>
      <c r="C204" s="7" t="s">
        <v>392</v>
      </c>
      <c r="D204" s="8">
        <v>42910</v>
      </c>
      <c r="E204" s="8">
        <v>42915</v>
      </c>
      <c r="F204" s="7" t="s">
        <v>393</v>
      </c>
      <c r="G204" s="7" t="s">
        <v>394</v>
      </c>
      <c r="H204" s="7">
        <v>21.744000000000003</v>
      </c>
      <c r="I204" s="9">
        <f t="shared" si="7"/>
        <v>6</v>
      </c>
      <c r="J204">
        <f t="shared" si="8"/>
        <v>5</v>
      </c>
    </row>
    <row r="205" spans="2:10" ht="14.3" customHeight="1">
      <c r="B205" s="6">
        <v>202</v>
      </c>
      <c r="C205" s="7" t="s">
        <v>395</v>
      </c>
      <c r="D205" s="8">
        <v>41854</v>
      </c>
      <c r="E205" s="8">
        <v>41856</v>
      </c>
      <c r="F205" s="7" t="s">
        <v>396</v>
      </c>
      <c r="G205" s="7" t="s">
        <v>397</v>
      </c>
      <c r="H205" s="7">
        <v>218.75</v>
      </c>
      <c r="I205" s="9">
        <f t="shared" si="7"/>
        <v>8</v>
      </c>
      <c r="J205">
        <f t="shared" si="8"/>
        <v>2</v>
      </c>
    </row>
    <row r="206" spans="2:10" ht="14.3" customHeight="1">
      <c r="B206" s="6">
        <v>203</v>
      </c>
      <c r="C206" s="7" t="s">
        <v>395</v>
      </c>
      <c r="D206" s="8">
        <v>41854</v>
      </c>
      <c r="E206" s="8">
        <v>41856</v>
      </c>
      <c r="F206" s="7" t="s">
        <v>396</v>
      </c>
      <c r="G206" s="7" t="s">
        <v>398</v>
      </c>
      <c r="H206" s="7">
        <v>2.6</v>
      </c>
      <c r="I206" s="9">
        <f t="shared" si="7"/>
        <v>8</v>
      </c>
      <c r="J206">
        <f t="shared" si="8"/>
        <v>2</v>
      </c>
    </row>
    <row r="207" spans="2:10" ht="14.3" customHeight="1">
      <c r="B207" s="6">
        <v>204</v>
      </c>
      <c r="C207" s="7" t="s">
        <v>399</v>
      </c>
      <c r="D207" s="8">
        <v>43086</v>
      </c>
      <c r="E207" s="8">
        <v>43090</v>
      </c>
      <c r="F207" s="7" t="s">
        <v>400</v>
      </c>
      <c r="G207" s="7" t="s">
        <v>401</v>
      </c>
      <c r="H207" s="7">
        <v>66.283999999999992</v>
      </c>
      <c r="I207" s="9">
        <f t="shared" si="7"/>
        <v>12</v>
      </c>
      <c r="J207">
        <f t="shared" si="8"/>
        <v>4</v>
      </c>
    </row>
    <row r="208" spans="2:10" ht="14.3" customHeight="1">
      <c r="B208" s="6">
        <v>205</v>
      </c>
      <c r="C208" s="7" t="s">
        <v>402</v>
      </c>
      <c r="D208" s="8">
        <v>42889</v>
      </c>
      <c r="E208" s="8">
        <v>42893</v>
      </c>
      <c r="F208" s="7" t="s">
        <v>403</v>
      </c>
      <c r="G208" s="7" t="s">
        <v>404</v>
      </c>
      <c r="H208" s="7">
        <v>35.168000000000006</v>
      </c>
      <c r="I208" s="9">
        <f t="shared" si="7"/>
        <v>6</v>
      </c>
      <c r="J208">
        <f t="shared" si="8"/>
        <v>4</v>
      </c>
    </row>
    <row r="209" spans="2:10" ht="14.3" customHeight="1">
      <c r="B209" s="6">
        <v>206</v>
      </c>
      <c r="C209" s="7" t="s">
        <v>405</v>
      </c>
      <c r="D209" s="8">
        <v>43078</v>
      </c>
      <c r="E209" s="8">
        <v>43083</v>
      </c>
      <c r="F209" s="7" t="s">
        <v>406</v>
      </c>
      <c r="G209" s="7" t="s">
        <v>407</v>
      </c>
      <c r="H209" s="7">
        <v>444.76800000000003</v>
      </c>
      <c r="I209" s="9">
        <f t="shared" si="7"/>
        <v>12</v>
      </c>
      <c r="J209">
        <f t="shared" si="8"/>
        <v>5</v>
      </c>
    </row>
    <row r="210" spans="2:10" ht="14.3" customHeight="1">
      <c r="B210" s="6">
        <v>207</v>
      </c>
      <c r="C210" s="7" t="s">
        <v>408</v>
      </c>
      <c r="D210" s="8">
        <v>43070</v>
      </c>
      <c r="E210" s="8">
        <v>43076</v>
      </c>
      <c r="F210" s="7" t="s">
        <v>409</v>
      </c>
      <c r="G210" s="7" t="s">
        <v>410</v>
      </c>
      <c r="H210" s="7">
        <v>83.92</v>
      </c>
      <c r="I210" s="9">
        <f t="shared" si="7"/>
        <v>12</v>
      </c>
      <c r="J210">
        <f t="shared" si="8"/>
        <v>6</v>
      </c>
    </row>
    <row r="211" spans="2:10" ht="14.3" customHeight="1">
      <c r="B211" s="6">
        <v>208</v>
      </c>
      <c r="C211" s="7" t="s">
        <v>408</v>
      </c>
      <c r="D211" s="8">
        <v>43070</v>
      </c>
      <c r="E211" s="8">
        <v>43076</v>
      </c>
      <c r="F211" s="7" t="s">
        <v>409</v>
      </c>
      <c r="G211" s="7" t="s">
        <v>411</v>
      </c>
      <c r="H211" s="7">
        <v>131.97999999999999</v>
      </c>
      <c r="I211" s="9">
        <f t="shared" si="7"/>
        <v>12</v>
      </c>
      <c r="J211">
        <f t="shared" si="8"/>
        <v>6</v>
      </c>
    </row>
    <row r="212" spans="2:10" ht="14.3" customHeight="1">
      <c r="B212" s="6">
        <v>209</v>
      </c>
      <c r="C212" s="7" t="s">
        <v>408</v>
      </c>
      <c r="D212" s="8">
        <v>43070</v>
      </c>
      <c r="E212" s="8">
        <v>43076</v>
      </c>
      <c r="F212" s="7" t="s">
        <v>409</v>
      </c>
      <c r="G212" s="7" t="s">
        <v>260</v>
      </c>
      <c r="H212" s="7">
        <v>15.92</v>
      </c>
      <c r="I212" s="9">
        <f t="shared" si="7"/>
        <v>12</v>
      </c>
      <c r="J212">
        <f t="shared" si="8"/>
        <v>6</v>
      </c>
    </row>
    <row r="213" spans="2:10" ht="14.3" customHeight="1">
      <c r="B213" s="6">
        <v>210</v>
      </c>
      <c r="C213" s="7" t="s">
        <v>408</v>
      </c>
      <c r="D213" s="8">
        <v>43070</v>
      </c>
      <c r="E213" s="8">
        <v>43076</v>
      </c>
      <c r="F213" s="7" t="s">
        <v>409</v>
      </c>
      <c r="G213" s="7" t="s">
        <v>412</v>
      </c>
      <c r="H213" s="7">
        <v>52.29</v>
      </c>
      <c r="I213" s="9">
        <f t="shared" si="7"/>
        <v>12</v>
      </c>
      <c r="J213">
        <f t="shared" si="8"/>
        <v>6</v>
      </c>
    </row>
    <row r="214" spans="2:10" ht="14.3" customHeight="1">
      <c r="B214" s="6">
        <v>211</v>
      </c>
      <c r="C214" s="7" t="s">
        <v>408</v>
      </c>
      <c r="D214" s="8">
        <v>43070</v>
      </c>
      <c r="E214" s="8">
        <v>43076</v>
      </c>
      <c r="F214" s="7" t="s">
        <v>409</v>
      </c>
      <c r="G214" s="7" t="s">
        <v>413</v>
      </c>
      <c r="H214" s="7">
        <v>91.99</v>
      </c>
      <c r="I214" s="9">
        <f t="shared" si="7"/>
        <v>12</v>
      </c>
      <c r="J214">
        <f t="shared" si="8"/>
        <v>6</v>
      </c>
    </row>
    <row r="215" spans="2:10" ht="14.3" customHeight="1">
      <c r="B215" s="6">
        <v>212</v>
      </c>
      <c r="C215" s="7" t="s">
        <v>414</v>
      </c>
      <c r="D215" s="8">
        <v>42044</v>
      </c>
      <c r="E215" s="8">
        <v>42048</v>
      </c>
      <c r="F215" s="7" t="s">
        <v>415</v>
      </c>
      <c r="G215" s="7" t="s">
        <v>416</v>
      </c>
      <c r="H215" s="7">
        <v>20.8</v>
      </c>
      <c r="I215" s="9">
        <f t="shared" si="7"/>
        <v>2</v>
      </c>
      <c r="J215">
        <f t="shared" si="8"/>
        <v>4</v>
      </c>
    </row>
    <row r="216" spans="2:10" ht="14.3" customHeight="1">
      <c r="B216" s="6">
        <v>213</v>
      </c>
      <c r="C216" s="7" t="s">
        <v>417</v>
      </c>
      <c r="D216" s="8">
        <v>42006</v>
      </c>
      <c r="E216" s="8">
        <v>42013</v>
      </c>
      <c r="F216" s="7" t="s">
        <v>418</v>
      </c>
      <c r="G216" s="7" t="s">
        <v>419</v>
      </c>
      <c r="H216" s="7">
        <v>23.680000000000003</v>
      </c>
      <c r="I216" s="9">
        <f t="shared" si="7"/>
        <v>1</v>
      </c>
      <c r="J216">
        <f t="shared" si="8"/>
        <v>7</v>
      </c>
    </row>
    <row r="217" spans="2:10" ht="14.3" customHeight="1">
      <c r="B217" s="6">
        <v>214</v>
      </c>
      <c r="C217" s="7" t="s">
        <v>417</v>
      </c>
      <c r="D217" s="8">
        <v>42006</v>
      </c>
      <c r="E217" s="8">
        <v>42013</v>
      </c>
      <c r="F217" s="7" t="s">
        <v>418</v>
      </c>
      <c r="G217" s="7" t="s">
        <v>420</v>
      </c>
      <c r="H217" s="7">
        <v>452.45</v>
      </c>
      <c r="I217" s="9">
        <f t="shared" si="7"/>
        <v>1</v>
      </c>
      <c r="J217">
        <f t="shared" si="8"/>
        <v>7</v>
      </c>
    </row>
    <row r="218" spans="2:10" ht="14.3" customHeight="1">
      <c r="B218" s="6">
        <v>215</v>
      </c>
      <c r="C218" s="7" t="s">
        <v>417</v>
      </c>
      <c r="D218" s="8">
        <v>42006</v>
      </c>
      <c r="E218" s="8">
        <v>42013</v>
      </c>
      <c r="F218" s="7" t="s">
        <v>418</v>
      </c>
      <c r="G218" s="7" t="s">
        <v>222</v>
      </c>
      <c r="H218" s="7">
        <v>62.981999999999999</v>
      </c>
      <c r="I218" s="9">
        <f t="shared" si="7"/>
        <v>1</v>
      </c>
      <c r="J218">
        <f t="shared" si="8"/>
        <v>7</v>
      </c>
    </row>
    <row r="219" spans="2:10" ht="14.3" customHeight="1">
      <c r="B219" s="6">
        <v>216</v>
      </c>
      <c r="C219" s="7" t="s">
        <v>417</v>
      </c>
      <c r="D219" s="8">
        <v>42006</v>
      </c>
      <c r="E219" s="8">
        <v>42013</v>
      </c>
      <c r="F219" s="7" t="s">
        <v>418</v>
      </c>
      <c r="G219" s="7" t="s">
        <v>421</v>
      </c>
      <c r="H219" s="7">
        <v>1188.0000000000002</v>
      </c>
      <c r="I219" s="9">
        <f t="shared" si="7"/>
        <v>1</v>
      </c>
      <c r="J219">
        <f t="shared" si="8"/>
        <v>7</v>
      </c>
    </row>
    <row r="220" spans="2:10" ht="14.3" customHeight="1">
      <c r="B220" s="6">
        <v>217</v>
      </c>
      <c r="C220" s="7" t="s">
        <v>417</v>
      </c>
      <c r="D220" s="8">
        <v>42006</v>
      </c>
      <c r="E220" s="8">
        <v>42013</v>
      </c>
      <c r="F220" s="7" t="s">
        <v>418</v>
      </c>
      <c r="G220" s="7" t="s">
        <v>422</v>
      </c>
      <c r="H220" s="7">
        <v>89.584000000000003</v>
      </c>
      <c r="I220" s="9">
        <f t="shared" si="7"/>
        <v>1</v>
      </c>
      <c r="J220">
        <f t="shared" si="8"/>
        <v>7</v>
      </c>
    </row>
    <row r="221" spans="2:10" ht="14.3" customHeight="1">
      <c r="B221" s="6">
        <v>218</v>
      </c>
      <c r="C221" s="7" t="s">
        <v>423</v>
      </c>
      <c r="D221" s="8">
        <v>42671</v>
      </c>
      <c r="E221" s="8">
        <v>42675</v>
      </c>
      <c r="F221" s="7" t="s">
        <v>424</v>
      </c>
      <c r="G221" s="7" t="s">
        <v>372</v>
      </c>
      <c r="H221" s="7">
        <v>93.06</v>
      </c>
      <c r="I221" s="9">
        <f t="shared" si="7"/>
        <v>10</v>
      </c>
      <c r="J221">
        <f t="shared" si="8"/>
        <v>4</v>
      </c>
    </row>
    <row r="222" spans="2:10" ht="14.3" customHeight="1">
      <c r="B222" s="6">
        <v>219</v>
      </c>
      <c r="C222" s="7" t="s">
        <v>423</v>
      </c>
      <c r="D222" s="8">
        <v>42671</v>
      </c>
      <c r="E222" s="8">
        <v>42675</v>
      </c>
      <c r="F222" s="7" t="s">
        <v>424</v>
      </c>
      <c r="G222" s="7" t="s">
        <v>425</v>
      </c>
      <c r="H222" s="7">
        <v>302.37599999999998</v>
      </c>
      <c r="I222" s="9">
        <f t="shared" si="7"/>
        <v>10</v>
      </c>
      <c r="J222">
        <f t="shared" si="8"/>
        <v>4</v>
      </c>
    </row>
    <row r="223" spans="2:10" ht="14.3" customHeight="1">
      <c r="B223" s="6">
        <v>220</v>
      </c>
      <c r="C223" s="7" t="s">
        <v>426</v>
      </c>
      <c r="D223" s="8">
        <v>42362</v>
      </c>
      <c r="E223" s="8">
        <v>42365</v>
      </c>
      <c r="F223" s="7" t="s">
        <v>427</v>
      </c>
      <c r="G223" s="7" t="s">
        <v>428</v>
      </c>
      <c r="H223" s="7">
        <v>5.5840000000000005</v>
      </c>
      <c r="I223" s="9">
        <f t="shared" si="7"/>
        <v>12</v>
      </c>
      <c r="J223">
        <f t="shared" si="8"/>
        <v>3</v>
      </c>
    </row>
    <row r="224" spans="2:10" ht="14.3" customHeight="1">
      <c r="B224" s="6">
        <v>221</v>
      </c>
      <c r="C224" s="7" t="s">
        <v>426</v>
      </c>
      <c r="D224" s="8">
        <v>42362</v>
      </c>
      <c r="E224" s="8">
        <v>42365</v>
      </c>
      <c r="F224" s="7" t="s">
        <v>427</v>
      </c>
      <c r="G224" s="7" t="s">
        <v>429</v>
      </c>
      <c r="H224" s="7">
        <v>22.704000000000004</v>
      </c>
      <c r="I224" s="9">
        <f t="shared" si="7"/>
        <v>12</v>
      </c>
      <c r="J224">
        <f t="shared" si="8"/>
        <v>3</v>
      </c>
    </row>
    <row r="225" spans="2:10" ht="14.3" customHeight="1">
      <c r="B225" s="6">
        <v>222</v>
      </c>
      <c r="C225" s="7" t="s">
        <v>426</v>
      </c>
      <c r="D225" s="8">
        <v>42362</v>
      </c>
      <c r="E225" s="8">
        <v>42365</v>
      </c>
      <c r="F225" s="7" t="s">
        <v>427</v>
      </c>
      <c r="G225" s="7" t="s">
        <v>193</v>
      </c>
      <c r="H225" s="7">
        <v>19.776000000000003</v>
      </c>
      <c r="I225" s="9">
        <f t="shared" si="7"/>
        <v>12</v>
      </c>
      <c r="J225">
        <f t="shared" si="8"/>
        <v>3</v>
      </c>
    </row>
    <row r="226" spans="2:10" ht="14.3" customHeight="1">
      <c r="B226" s="6">
        <v>223</v>
      </c>
      <c r="C226" s="7" t="s">
        <v>426</v>
      </c>
      <c r="D226" s="8">
        <v>42362</v>
      </c>
      <c r="E226" s="8">
        <v>42365</v>
      </c>
      <c r="F226" s="7" t="s">
        <v>427</v>
      </c>
      <c r="G226" s="7" t="s">
        <v>430</v>
      </c>
      <c r="H226" s="7">
        <v>72.703999999999994</v>
      </c>
      <c r="I226" s="9">
        <f t="shared" si="7"/>
        <v>12</v>
      </c>
      <c r="J226">
        <f t="shared" si="8"/>
        <v>3</v>
      </c>
    </row>
    <row r="227" spans="2:10" ht="14.3" customHeight="1">
      <c r="B227" s="6">
        <v>224</v>
      </c>
      <c r="C227" s="7" t="s">
        <v>426</v>
      </c>
      <c r="D227" s="8">
        <v>42362</v>
      </c>
      <c r="E227" s="8">
        <v>42365</v>
      </c>
      <c r="F227" s="7" t="s">
        <v>427</v>
      </c>
      <c r="G227" s="7" t="s">
        <v>431</v>
      </c>
      <c r="H227" s="7">
        <v>479.98800000000006</v>
      </c>
      <c r="I227" s="9">
        <f t="shared" si="7"/>
        <v>12</v>
      </c>
      <c r="J227">
        <f t="shared" si="8"/>
        <v>3</v>
      </c>
    </row>
    <row r="228" spans="2:10" ht="14.3" customHeight="1">
      <c r="B228" s="6">
        <v>225</v>
      </c>
      <c r="C228" s="7" t="s">
        <v>426</v>
      </c>
      <c r="D228" s="8">
        <v>42362</v>
      </c>
      <c r="E228" s="8">
        <v>42365</v>
      </c>
      <c r="F228" s="7" t="s">
        <v>427</v>
      </c>
      <c r="G228" s="7" t="s">
        <v>432</v>
      </c>
      <c r="H228" s="7">
        <v>27.168000000000003</v>
      </c>
      <c r="I228" s="9">
        <f t="shared" si="7"/>
        <v>12</v>
      </c>
      <c r="J228">
        <f t="shared" si="8"/>
        <v>3</v>
      </c>
    </row>
    <row r="229" spans="2:10" ht="14.3" customHeight="1">
      <c r="B229" s="6">
        <v>226</v>
      </c>
      <c r="C229" s="7" t="s">
        <v>433</v>
      </c>
      <c r="D229" s="8">
        <v>42225</v>
      </c>
      <c r="E229" s="8">
        <v>42232</v>
      </c>
      <c r="F229" s="7" t="s">
        <v>434</v>
      </c>
      <c r="G229" s="7" t="s">
        <v>435</v>
      </c>
      <c r="H229" s="7">
        <v>2.2000000000000002</v>
      </c>
      <c r="I229" s="9">
        <f t="shared" si="7"/>
        <v>8</v>
      </c>
      <c r="J229">
        <f t="shared" si="8"/>
        <v>7</v>
      </c>
    </row>
    <row r="230" spans="2:10" ht="14.3" customHeight="1">
      <c r="B230" s="6">
        <v>227</v>
      </c>
      <c r="C230" s="7" t="s">
        <v>433</v>
      </c>
      <c r="D230" s="8">
        <v>42225</v>
      </c>
      <c r="E230" s="8">
        <v>42232</v>
      </c>
      <c r="F230" s="7" t="s">
        <v>434</v>
      </c>
      <c r="G230" s="7" t="s">
        <v>436</v>
      </c>
      <c r="H230" s="7">
        <v>622.44999999999993</v>
      </c>
      <c r="I230" s="9">
        <f t="shared" si="7"/>
        <v>8</v>
      </c>
      <c r="J230">
        <f t="shared" si="8"/>
        <v>7</v>
      </c>
    </row>
    <row r="231" spans="2:10" ht="14.3" customHeight="1">
      <c r="B231" s="6">
        <v>228</v>
      </c>
      <c r="C231" s="7" t="s">
        <v>433</v>
      </c>
      <c r="D231" s="8">
        <v>42225</v>
      </c>
      <c r="E231" s="8">
        <v>42232</v>
      </c>
      <c r="F231" s="7" t="s">
        <v>434</v>
      </c>
      <c r="G231" s="7" t="s">
        <v>437</v>
      </c>
      <c r="H231" s="7">
        <v>21.98</v>
      </c>
      <c r="I231" s="9">
        <f t="shared" si="7"/>
        <v>8</v>
      </c>
      <c r="J231">
        <f t="shared" si="8"/>
        <v>7</v>
      </c>
    </row>
    <row r="232" spans="2:10" ht="14.3" customHeight="1">
      <c r="B232" s="6">
        <v>229</v>
      </c>
      <c r="C232" s="7" t="s">
        <v>438</v>
      </c>
      <c r="D232" s="8">
        <v>42063</v>
      </c>
      <c r="E232" s="8">
        <v>42067</v>
      </c>
      <c r="F232" s="7" t="s">
        <v>439</v>
      </c>
      <c r="G232" s="7" t="s">
        <v>440</v>
      </c>
      <c r="H232" s="7">
        <v>161.56800000000001</v>
      </c>
      <c r="I232" s="9">
        <f t="shared" si="7"/>
        <v>2</v>
      </c>
      <c r="J232">
        <f t="shared" si="8"/>
        <v>4</v>
      </c>
    </row>
    <row r="233" spans="2:10" ht="14.3" customHeight="1">
      <c r="B233" s="6">
        <v>230</v>
      </c>
      <c r="C233" s="7" t="s">
        <v>438</v>
      </c>
      <c r="D233" s="8">
        <v>42063</v>
      </c>
      <c r="E233" s="8">
        <v>42067</v>
      </c>
      <c r="F233" s="7" t="s">
        <v>439</v>
      </c>
      <c r="G233" s="7" t="s">
        <v>441</v>
      </c>
      <c r="H233" s="7">
        <v>389.69600000000003</v>
      </c>
      <c r="I233" s="9">
        <f t="shared" si="7"/>
        <v>2</v>
      </c>
      <c r="J233">
        <f t="shared" si="8"/>
        <v>4</v>
      </c>
    </row>
    <row r="234" spans="2:10" ht="14.3" customHeight="1">
      <c r="B234" s="6">
        <v>231</v>
      </c>
      <c r="C234" s="7" t="s">
        <v>442</v>
      </c>
      <c r="D234" s="8">
        <v>41895</v>
      </c>
      <c r="E234" s="8">
        <v>41899</v>
      </c>
      <c r="F234" s="7" t="s">
        <v>443</v>
      </c>
      <c r="G234" s="7" t="s">
        <v>444</v>
      </c>
      <c r="H234" s="7">
        <v>18.648000000000003</v>
      </c>
      <c r="I234" s="9">
        <f t="shared" si="7"/>
        <v>9</v>
      </c>
      <c r="J234">
        <f t="shared" si="8"/>
        <v>4</v>
      </c>
    </row>
    <row r="235" spans="2:10" ht="14.3" customHeight="1">
      <c r="B235" s="6">
        <v>232</v>
      </c>
      <c r="C235" s="7" t="s">
        <v>445</v>
      </c>
      <c r="D235" s="8">
        <v>42832</v>
      </c>
      <c r="E235" s="8">
        <v>42837</v>
      </c>
      <c r="F235" s="7" t="s">
        <v>174</v>
      </c>
      <c r="G235" s="7" t="s">
        <v>446</v>
      </c>
      <c r="H235" s="7">
        <v>233.86</v>
      </c>
      <c r="I235" s="9">
        <f t="shared" si="7"/>
        <v>4</v>
      </c>
      <c r="J235">
        <f t="shared" si="8"/>
        <v>5</v>
      </c>
    </row>
    <row r="236" spans="2:10" ht="14.3" customHeight="1">
      <c r="B236" s="6">
        <v>233</v>
      </c>
      <c r="C236" s="7" t="s">
        <v>445</v>
      </c>
      <c r="D236" s="8">
        <v>42832</v>
      </c>
      <c r="E236" s="8">
        <v>42837</v>
      </c>
      <c r="F236" s="7" t="s">
        <v>174</v>
      </c>
      <c r="G236" s="7" t="s">
        <v>447</v>
      </c>
      <c r="H236" s="7">
        <v>620.61450000000013</v>
      </c>
      <c r="I236" s="9">
        <f t="shared" si="7"/>
        <v>4</v>
      </c>
      <c r="J236">
        <f t="shared" si="8"/>
        <v>5</v>
      </c>
    </row>
    <row r="237" spans="2:10" ht="14.3" customHeight="1">
      <c r="B237" s="6">
        <v>234</v>
      </c>
      <c r="C237" s="7" t="s">
        <v>445</v>
      </c>
      <c r="D237" s="8">
        <v>42832</v>
      </c>
      <c r="E237" s="8">
        <v>42837</v>
      </c>
      <c r="F237" s="7" t="s">
        <v>174</v>
      </c>
      <c r="G237" s="7" t="s">
        <v>444</v>
      </c>
      <c r="H237" s="7">
        <v>5.3280000000000012</v>
      </c>
      <c r="I237" s="9">
        <f t="shared" si="7"/>
        <v>4</v>
      </c>
      <c r="J237">
        <f t="shared" si="8"/>
        <v>5</v>
      </c>
    </row>
    <row r="238" spans="2:10" ht="14.3" customHeight="1">
      <c r="B238" s="6">
        <v>235</v>
      </c>
      <c r="C238" s="7" t="s">
        <v>445</v>
      </c>
      <c r="D238" s="8">
        <v>42832</v>
      </c>
      <c r="E238" s="8">
        <v>42837</v>
      </c>
      <c r="F238" s="7" t="s">
        <v>174</v>
      </c>
      <c r="G238" s="7" t="s">
        <v>448</v>
      </c>
      <c r="H238" s="7">
        <v>258.072</v>
      </c>
      <c r="I238" s="9">
        <f t="shared" si="7"/>
        <v>4</v>
      </c>
      <c r="J238">
        <f t="shared" si="8"/>
        <v>5</v>
      </c>
    </row>
    <row r="239" spans="2:10" ht="14.3" customHeight="1">
      <c r="B239" s="6">
        <v>236</v>
      </c>
      <c r="C239" s="7" t="s">
        <v>445</v>
      </c>
      <c r="D239" s="8">
        <v>42832</v>
      </c>
      <c r="E239" s="8">
        <v>42837</v>
      </c>
      <c r="F239" s="7" t="s">
        <v>174</v>
      </c>
      <c r="G239" s="7" t="s">
        <v>449</v>
      </c>
      <c r="H239" s="7">
        <v>617.97600000000011</v>
      </c>
      <c r="I239" s="9">
        <f t="shared" si="7"/>
        <v>4</v>
      </c>
      <c r="J239">
        <f t="shared" si="8"/>
        <v>5</v>
      </c>
    </row>
    <row r="240" spans="2:10" ht="14.3" customHeight="1">
      <c r="B240" s="6">
        <v>237</v>
      </c>
      <c r="C240" s="7" t="s">
        <v>450</v>
      </c>
      <c r="D240" s="8">
        <v>43051</v>
      </c>
      <c r="E240" s="8">
        <v>43055</v>
      </c>
      <c r="F240" s="7" t="s">
        <v>451</v>
      </c>
      <c r="G240" s="7" t="s">
        <v>452</v>
      </c>
      <c r="H240" s="7">
        <v>10.56</v>
      </c>
      <c r="I240" s="9">
        <f t="shared" si="7"/>
        <v>11</v>
      </c>
      <c r="J240">
        <f t="shared" si="8"/>
        <v>4</v>
      </c>
    </row>
    <row r="241" spans="2:10" ht="14.3" customHeight="1">
      <c r="B241" s="6">
        <v>238</v>
      </c>
      <c r="C241" s="7" t="s">
        <v>453</v>
      </c>
      <c r="D241" s="8">
        <v>42525</v>
      </c>
      <c r="E241" s="8">
        <v>42530</v>
      </c>
      <c r="F241" s="7" t="s">
        <v>454</v>
      </c>
      <c r="G241" s="7" t="s">
        <v>455</v>
      </c>
      <c r="H241" s="7">
        <v>25.920000000000005</v>
      </c>
      <c r="I241" s="9">
        <f t="shared" si="7"/>
        <v>6</v>
      </c>
      <c r="J241">
        <f t="shared" si="8"/>
        <v>5</v>
      </c>
    </row>
    <row r="242" spans="2:10" ht="14.3" customHeight="1">
      <c r="B242" s="6">
        <v>239</v>
      </c>
      <c r="C242" s="7" t="s">
        <v>453</v>
      </c>
      <c r="D242" s="8">
        <v>42525</v>
      </c>
      <c r="E242" s="8">
        <v>42530</v>
      </c>
      <c r="F242" s="7" t="s">
        <v>454</v>
      </c>
      <c r="G242" s="7" t="s">
        <v>456</v>
      </c>
      <c r="H242" s="7">
        <v>419.68000000000006</v>
      </c>
      <c r="I242" s="9">
        <f t="shared" si="7"/>
        <v>6</v>
      </c>
      <c r="J242">
        <f t="shared" si="8"/>
        <v>5</v>
      </c>
    </row>
    <row r="243" spans="2:10" ht="14.3" customHeight="1">
      <c r="B243" s="6">
        <v>240</v>
      </c>
      <c r="C243" s="7" t="s">
        <v>453</v>
      </c>
      <c r="D243" s="8">
        <v>42525</v>
      </c>
      <c r="E243" s="8">
        <v>42530</v>
      </c>
      <c r="F243" s="7" t="s">
        <v>454</v>
      </c>
      <c r="G243" s="7" t="s">
        <v>457</v>
      </c>
      <c r="H243" s="7">
        <v>11.688000000000001</v>
      </c>
      <c r="I243" s="9">
        <f t="shared" si="7"/>
        <v>6</v>
      </c>
      <c r="J243">
        <f t="shared" si="8"/>
        <v>5</v>
      </c>
    </row>
    <row r="244" spans="2:10" ht="14.3" customHeight="1">
      <c r="B244" s="6">
        <v>241</v>
      </c>
      <c r="C244" s="7" t="s">
        <v>453</v>
      </c>
      <c r="D244" s="8">
        <v>42525</v>
      </c>
      <c r="E244" s="8">
        <v>42530</v>
      </c>
      <c r="F244" s="7" t="s">
        <v>454</v>
      </c>
      <c r="G244" s="7" t="s">
        <v>458</v>
      </c>
      <c r="H244" s="7">
        <v>31.983999999999998</v>
      </c>
      <c r="I244" s="9">
        <f t="shared" si="7"/>
        <v>6</v>
      </c>
      <c r="J244">
        <f t="shared" si="8"/>
        <v>5</v>
      </c>
    </row>
    <row r="245" spans="2:10" ht="14.3" customHeight="1">
      <c r="B245" s="6">
        <v>242</v>
      </c>
      <c r="C245" s="7" t="s">
        <v>453</v>
      </c>
      <c r="D245" s="8">
        <v>42525</v>
      </c>
      <c r="E245" s="8">
        <v>42530</v>
      </c>
      <c r="F245" s="7" t="s">
        <v>454</v>
      </c>
      <c r="G245" s="7" t="s">
        <v>459</v>
      </c>
      <c r="H245" s="7">
        <v>177.22499999999999</v>
      </c>
      <c r="I245" s="9">
        <f t="shared" si="7"/>
        <v>6</v>
      </c>
      <c r="J245">
        <f t="shared" si="8"/>
        <v>5</v>
      </c>
    </row>
    <row r="246" spans="2:10" ht="14.3" customHeight="1">
      <c r="B246" s="6">
        <v>243</v>
      </c>
      <c r="C246" s="7" t="s">
        <v>453</v>
      </c>
      <c r="D246" s="8">
        <v>42525</v>
      </c>
      <c r="E246" s="8">
        <v>42530</v>
      </c>
      <c r="F246" s="7" t="s">
        <v>454</v>
      </c>
      <c r="G246" s="7" t="s">
        <v>460</v>
      </c>
      <c r="H246" s="7">
        <v>4.0440000000000005</v>
      </c>
      <c r="I246" s="9">
        <f t="shared" si="7"/>
        <v>6</v>
      </c>
      <c r="J246">
        <f t="shared" si="8"/>
        <v>5</v>
      </c>
    </row>
    <row r="247" spans="2:10" ht="14.3" customHeight="1">
      <c r="B247" s="6">
        <v>244</v>
      </c>
      <c r="C247" s="7" t="s">
        <v>453</v>
      </c>
      <c r="D247" s="8">
        <v>42525</v>
      </c>
      <c r="E247" s="8">
        <v>42530</v>
      </c>
      <c r="F247" s="7" t="s">
        <v>454</v>
      </c>
      <c r="G247" s="7" t="s">
        <v>383</v>
      </c>
      <c r="H247" s="7">
        <v>7.4080000000000004</v>
      </c>
      <c r="I247" s="9">
        <f t="shared" si="7"/>
        <v>6</v>
      </c>
      <c r="J247">
        <f t="shared" si="8"/>
        <v>5</v>
      </c>
    </row>
    <row r="248" spans="2:10" ht="14.3" customHeight="1">
      <c r="B248" s="6">
        <v>245</v>
      </c>
      <c r="C248" s="7" t="s">
        <v>461</v>
      </c>
      <c r="D248" s="8">
        <v>41791</v>
      </c>
      <c r="E248" s="8">
        <v>41796</v>
      </c>
      <c r="F248" s="7" t="s">
        <v>462</v>
      </c>
      <c r="G248" s="7" t="s">
        <v>254</v>
      </c>
      <c r="H248" s="7">
        <v>2001.8600000000001</v>
      </c>
      <c r="I248" s="9">
        <f t="shared" si="7"/>
        <v>6</v>
      </c>
      <c r="J248">
        <f t="shared" si="8"/>
        <v>5</v>
      </c>
    </row>
    <row r="249" spans="2:10" ht="14.3" customHeight="1">
      <c r="B249" s="6">
        <v>246</v>
      </c>
      <c r="C249" s="7" t="s">
        <v>461</v>
      </c>
      <c r="D249" s="8">
        <v>41791</v>
      </c>
      <c r="E249" s="8">
        <v>41796</v>
      </c>
      <c r="F249" s="7" t="s">
        <v>462</v>
      </c>
      <c r="G249" s="7" t="s">
        <v>463</v>
      </c>
      <c r="H249" s="7">
        <v>166.72</v>
      </c>
      <c r="I249" s="9">
        <f t="shared" si="7"/>
        <v>6</v>
      </c>
      <c r="J249">
        <f t="shared" si="8"/>
        <v>5</v>
      </c>
    </row>
    <row r="250" spans="2:10" ht="14.3" customHeight="1">
      <c r="B250" s="6">
        <v>247</v>
      </c>
      <c r="C250" s="7" t="s">
        <v>461</v>
      </c>
      <c r="D250" s="8">
        <v>41791</v>
      </c>
      <c r="E250" s="8">
        <v>41796</v>
      </c>
      <c r="F250" s="7" t="s">
        <v>462</v>
      </c>
      <c r="G250" s="7" t="s">
        <v>464</v>
      </c>
      <c r="H250" s="7">
        <v>47.88</v>
      </c>
      <c r="I250" s="9">
        <f t="shared" si="7"/>
        <v>6</v>
      </c>
      <c r="J250">
        <f t="shared" si="8"/>
        <v>5</v>
      </c>
    </row>
    <row r="251" spans="2:10" ht="14.3" customHeight="1">
      <c r="B251" s="6">
        <v>248</v>
      </c>
      <c r="C251" s="7" t="s">
        <v>461</v>
      </c>
      <c r="D251" s="8">
        <v>41791</v>
      </c>
      <c r="E251" s="8">
        <v>41796</v>
      </c>
      <c r="F251" s="7" t="s">
        <v>462</v>
      </c>
      <c r="G251" s="7" t="s">
        <v>465</v>
      </c>
      <c r="H251" s="7">
        <v>1503.25</v>
      </c>
      <c r="I251" s="9">
        <f t="shared" si="7"/>
        <v>6</v>
      </c>
      <c r="J251">
        <f t="shared" si="8"/>
        <v>5</v>
      </c>
    </row>
    <row r="252" spans="2:10" ht="14.3" customHeight="1">
      <c r="B252" s="6">
        <v>249</v>
      </c>
      <c r="C252" s="7" t="s">
        <v>461</v>
      </c>
      <c r="D252" s="8">
        <v>41791</v>
      </c>
      <c r="E252" s="8">
        <v>41796</v>
      </c>
      <c r="F252" s="7" t="s">
        <v>462</v>
      </c>
      <c r="G252" s="7" t="s">
        <v>377</v>
      </c>
      <c r="H252" s="7">
        <v>25.92</v>
      </c>
      <c r="I252" s="9">
        <f t="shared" si="7"/>
        <v>6</v>
      </c>
      <c r="J252">
        <f t="shared" si="8"/>
        <v>5</v>
      </c>
    </row>
    <row r="253" spans="2:10" ht="14.3" customHeight="1">
      <c r="B253" s="6">
        <v>250</v>
      </c>
      <c r="C253" s="7" t="s">
        <v>466</v>
      </c>
      <c r="D253" s="8">
        <v>42714</v>
      </c>
      <c r="E253" s="8">
        <v>42719</v>
      </c>
      <c r="F253" s="7" t="s">
        <v>467</v>
      </c>
      <c r="G253" s="7" t="s">
        <v>468</v>
      </c>
      <c r="H253" s="7">
        <v>321.56799999999998</v>
      </c>
      <c r="I253" s="9">
        <f t="shared" si="7"/>
        <v>12</v>
      </c>
      <c r="J253">
        <f t="shared" si="8"/>
        <v>5</v>
      </c>
    </row>
    <row r="254" spans="2:10" ht="14.3" customHeight="1">
      <c r="B254" s="6">
        <v>251</v>
      </c>
      <c r="C254" s="7" t="s">
        <v>469</v>
      </c>
      <c r="D254" s="8">
        <v>42624</v>
      </c>
      <c r="E254" s="8">
        <v>42630</v>
      </c>
      <c r="F254" s="7" t="s">
        <v>470</v>
      </c>
      <c r="G254" s="7" t="s">
        <v>471</v>
      </c>
      <c r="H254" s="7">
        <v>7.61</v>
      </c>
      <c r="I254" s="9">
        <f t="shared" si="7"/>
        <v>9</v>
      </c>
      <c r="J254">
        <f t="shared" si="8"/>
        <v>6</v>
      </c>
    </row>
    <row r="255" spans="2:10" ht="14.3" customHeight="1">
      <c r="B255" s="6">
        <v>252</v>
      </c>
      <c r="C255" s="7" t="s">
        <v>469</v>
      </c>
      <c r="D255" s="8">
        <v>42624</v>
      </c>
      <c r="E255" s="8">
        <v>42630</v>
      </c>
      <c r="F255" s="7" t="s">
        <v>470</v>
      </c>
      <c r="G255" s="7" t="s">
        <v>449</v>
      </c>
      <c r="H255" s="7">
        <v>3347.37</v>
      </c>
      <c r="I255" s="9">
        <f t="shared" si="7"/>
        <v>9</v>
      </c>
      <c r="J255">
        <f t="shared" si="8"/>
        <v>6</v>
      </c>
    </row>
    <row r="256" spans="2:10" ht="14.3" customHeight="1">
      <c r="B256" s="6">
        <v>253</v>
      </c>
      <c r="C256" s="7" t="s">
        <v>472</v>
      </c>
      <c r="D256" s="8">
        <v>42714</v>
      </c>
      <c r="E256" s="8">
        <v>42717</v>
      </c>
      <c r="F256" s="7" t="s">
        <v>473</v>
      </c>
      <c r="G256" s="7" t="s">
        <v>474</v>
      </c>
      <c r="H256" s="7">
        <v>80.58</v>
      </c>
      <c r="I256" s="9">
        <f t="shared" si="7"/>
        <v>12</v>
      </c>
      <c r="J256">
        <f t="shared" si="8"/>
        <v>3</v>
      </c>
    </row>
    <row r="257" spans="2:10" ht="14.3" customHeight="1">
      <c r="B257" s="6">
        <v>254</v>
      </c>
      <c r="C257" s="7" t="s">
        <v>472</v>
      </c>
      <c r="D257" s="8">
        <v>42714</v>
      </c>
      <c r="E257" s="8">
        <v>42717</v>
      </c>
      <c r="F257" s="7" t="s">
        <v>473</v>
      </c>
      <c r="G257" s="7" t="s">
        <v>475</v>
      </c>
      <c r="H257" s="7">
        <v>361.92</v>
      </c>
      <c r="I257" s="9">
        <f t="shared" si="7"/>
        <v>12</v>
      </c>
      <c r="J257">
        <f t="shared" si="8"/>
        <v>3</v>
      </c>
    </row>
    <row r="258" spans="2:10" ht="14.3" customHeight="1">
      <c r="B258" s="6">
        <v>255</v>
      </c>
      <c r="C258" s="7" t="s">
        <v>476</v>
      </c>
      <c r="D258" s="8">
        <v>42336</v>
      </c>
      <c r="E258" s="8">
        <v>42342</v>
      </c>
      <c r="F258" s="7" t="s">
        <v>477</v>
      </c>
      <c r="G258" s="7" t="s">
        <v>460</v>
      </c>
      <c r="H258" s="7">
        <v>12.132000000000001</v>
      </c>
      <c r="I258" s="9">
        <f t="shared" si="7"/>
        <v>11</v>
      </c>
      <c r="J258">
        <f t="shared" si="8"/>
        <v>6</v>
      </c>
    </row>
    <row r="259" spans="2:10" ht="14.3" customHeight="1">
      <c r="B259" s="6">
        <v>256</v>
      </c>
      <c r="C259" s="7" t="s">
        <v>476</v>
      </c>
      <c r="D259" s="8">
        <v>42336</v>
      </c>
      <c r="E259" s="8">
        <v>42342</v>
      </c>
      <c r="F259" s="7" t="s">
        <v>477</v>
      </c>
      <c r="G259" s="7" t="s">
        <v>478</v>
      </c>
      <c r="H259" s="7">
        <v>82.367999999999995</v>
      </c>
      <c r="I259" s="9">
        <f t="shared" si="7"/>
        <v>11</v>
      </c>
      <c r="J259">
        <f t="shared" si="8"/>
        <v>6</v>
      </c>
    </row>
    <row r="260" spans="2:10" ht="14.3" customHeight="1">
      <c r="B260" s="6">
        <v>257</v>
      </c>
      <c r="C260" s="7" t="s">
        <v>476</v>
      </c>
      <c r="D260" s="8">
        <v>42336</v>
      </c>
      <c r="E260" s="8">
        <v>42342</v>
      </c>
      <c r="F260" s="7" t="s">
        <v>477</v>
      </c>
      <c r="G260" s="7" t="s">
        <v>306</v>
      </c>
      <c r="H260" s="7">
        <v>53.92</v>
      </c>
      <c r="I260" s="9">
        <f t="shared" si="7"/>
        <v>11</v>
      </c>
      <c r="J260">
        <f t="shared" si="8"/>
        <v>6</v>
      </c>
    </row>
    <row r="261" spans="2:10" ht="14.3" customHeight="1">
      <c r="B261" s="6">
        <v>258</v>
      </c>
      <c r="C261" s="7" t="s">
        <v>476</v>
      </c>
      <c r="D261" s="8">
        <v>42336</v>
      </c>
      <c r="E261" s="8">
        <v>42342</v>
      </c>
      <c r="F261" s="7" t="s">
        <v>477</v>
      </c>
      <c r="G261" s="7" t="s">
        <v>479</v>
      </c>
      <c r="H261" s="7">
        <v>647.904</v>
      </c>
      <c r="I261" s="9">
        <f t="shared" ref="I261:I324" si="9">MONTH(D261)</f>
        <v>11</v>
      </c>
      <c r="J261">
        <f t="shared" ref="J261:J324" si="10">DATEDIF(D261,E261,"D")</f>
        <v>6</v>
      </c>
    </row>
    <row r="262" spans="2:10" ht="14.3" customHeight="1">
      <c r="B262" s="6">
        <v>259</v>
      </c>
      <c r="C262" s="7" t="s">
        <v>480</v>
      </c>
      <c r="D262" s="8">
        <v>43070</v>
      </c>
      <c r="E262" s="8">
        <v>43072</v>
      </c>
      <c r="F262" s="7" t="s">
        <v>481</v>
      </c>
      <c r="G262" s="7" t="s">
        <v>482</v>
      </c>
      <c r="H262" s="7">
        <v>20.37</v>
      </c>
      <c r="I262" s="9">
        <f t="shared" si="9"/>
        <v>12</v>
      </c>
      <c r="J262">
        <f t="shared" si="10"/>
        <v>2</v>
      </c>
    </row>
    <row r="263" spans="2:10" ht="14.3" customHeight="1">
      <c r="B263" s="6">
        <v>260</v>
      </c>
      <c r="C263" s="7" t="s">
        <v>480</v>
      </c>
      <c r="D263" s="8">
        <v>43070</v>
      </c>
      <c r="E263" s="8">
        <v>43072</v>
      </c>
      <c r="F263" s="7" t="s">
        <v>481</v>
      </c>
      <c r="G263" s="7" t="s">
        <v>483</v>
      </c>
      <c r="H263" s="7">
        <v>221.54999999999998</v>
      </c>
      <c r="I263" s="9">
        <f t="shared" si="9"/>
        <v>12</v>
      </c>
      <c r="J263">
        <f t="shared" si="10"/>
        <v>2</v>
      </c>
    </row>
    <row r="264" spans="2:10" ht="14.3" customHeight="1">
      <c r="B264" s="6">
        <v>261</v>
      </c>
      <c r="C264" s="7" t="s">
        <v>480</v>
      </c>
      <c r="D264" s="8">
        <v>43070</v>
      </c>
      <c r="E264" s="8">
        <v>43072</v>
      </c>
      <c r="F264" s="7" t="s">
        <v>481</v>
      </c>
      <c r="G264" s="7" t="s">
        <v>484</v>
      </c>
      <c r="H264" s="7">
        <v>17.52</v>
      </c>
      <c r="I264" s="9">
        <f t="shared" si="9"/>
        <v>12</v>
      </c>
      <c r="J264">
        <f t="shared" si="10"/>
        <v>2</v>
      </c>
    </row>
    <row r="265" spans="2:10" ht="14.3" customHeight="1">
      <c r="B265" s="6">
        <v>262</v>
      </c>
      <c r="C265" s="7" t="s">
        <v>485</v>
      </c>
      <c r="D265" s="8">
        <v>42894</v>
      </c>
      <c r="E265" s="8">
        <v>42898</v>
      </c>
      <c r="F265" s="7" t="s">
        <v>486</v>
      </c>
      <c r="G265" s="7" t="s">
        <v>487</v>
      </c>
      <c r="H265" s="7">
        <v>1.6239999999999994</v>
      </c>
      <c r="I265" s="9">
        <f t="shared" si="9"/>
        <v>6</v>
      </c>
      <c r="J265">
        <f t="shared" si="10"/>
        <v>4</v>
      </c>
    </row>
    <row r="266" spans="2:10" ht="14.3" customHeight="1">
      <c r="B266" s="6">
        <v>263</v>
      </c>
      <c r="C266" s="7" t="s">
        <v>488</v>
      </c>
      <c r="D266" s="8">
        <v>41901</v>
      </c>
      <c r="E266" s="8">
        <v>41903</v>
      </c>
      <c r="F266" s="7" t="s">
        <v>489</v>
      </c>
      <c r="G266" s="7" t="s">
        <v>331</v>
      </c>
      <c r="H266" s="7">
        <v>3059.982</v>
      </c>
      <c r="I266" s="9">
        <f t="shared" si="9"/>
        <v>9</v>
      </c>
      <c r="J266">
        <f t="shared" si="10"/>
        <v>2</v>
      </c>
    </row>
    <row r="267" spans="2:10" ht="14.3" customHeight="1">
      <c r="B267" s="6">
        <v>264</v>
      </c>
      <c r="C267" s="7" t="s">
        <v>488</v>
      </c>
      <c r="D267" s="8">
        <v>41901</v>
      </c>
      <c r="E267" s="8">
        <v>41903</v>
      </c>
      <c r="F267" s="7" t="s">
        <v>489</v>
      </c>
      <c r="G267" s="7" t="s">
        <v>490</v>
      </c>
      <c r="H267" s="7">
        <v>2519.9579999999996</v>
      </c>
      <c r="I267" s="9">
        <f t="shared" si="9"/>
        <v>9</v>
      </c>
      <c r="J267">
        <f t="shared" si="10"/>
        <v>2</v>
      </c>
    </row>
    <row r="268" spans="2:10" ht="14.3" customHeight="1">
      <c r="B268" s="6">
        <v>265</v>
      </c>
      <c r="C268" s="7" t="s">
        <v>491</v>
      </c>
      <c r="D268" s="8">
        <v>42527</v>
      </c>
      <c r="E268" s="8">
        <v>42534</v>
      </c>
      <c r="F268" s="7" t="s">
        <v>492</v>
      </c>
      <c r="G268" s="7" t="s">
        <v>493</v>
      </c>
      <c r="H268" s="7">
        <v>328.22399999999999</v>
      </c>
      <c r="I268" s="9">
        <f t="shared" si="9"/>
        <v>6</v>
      </c>
      <c r="J268">
        <f t="shared" si="10"/>
        <v>7</v>
      </c>
    </row>
    <row r="269" spans="2:10" ht="14.3" customHeight="1">
      <c r="B269" s="6">
        <v>266</v>
      </c>
      <c r="C269" s="7" t="s">
        <v>494</v>
      </c>
      <c r="D269" s="8">
        <v>42318</v>
      </c>
      <c r="E269" s="8">
        <v>42323</v>
      </c>
      <c r="F269" s="7" t="s">
        <v>495</v>
      </c>
      <c r="G269" s="7" t="s">
        <v>496</v>
      </c>
      <c r="H269" s="7">
        <v>79.900000000000006</v>
      </c>
      <c r="I269" s="9">
        <f t="shared" si="9"/>
        <v>11</v>
      </c>
      <c r="J269">
        <f t="shared" si="10"/>
        <v>5</v>
      </c>
    </row>
    <row r="270" spans="2:10" ht="14.3" customHeight="1">
      <c r="B270" s="6">
        <v>267</v>
      </c>
      <c r="C270" s="7" t="s">
        <v>497</v>
      </c>
      <c r="D270" s="8">
        <v>42902</v>
      </c>
      <c r="E270" s="8">
        <v>42906</v>
      </c>
      <c r="F270" s="7" t="s">
        <v>498</v>
      </c>
      <c r="G270" s="7" t="s">
        <v>499</v>
      </c>
      <c r="H270" s="7">
        <v>14.015999999999998</v>
      </c>
      <c r="I270" s="9">
        <f t="shared" si="9"/>
        <v>6</v>
      </c>
      <c r="J270">
        <f t="shared" si="10"/>
        <v>4</v>
      </c>
    </row>
    <row r="271" spans="2:10" ht="14.3" customHeight="1">
      <c r="B271" s="6">
        <v>268</v>
      </c>
      <c r="C271" s="7" t="s">
        <v>500</v>
      </c>
      <c r="D271" s="8">
        <v>42391</v>
      </c>
      <c r="E271" s="8">
        <v>42397</v>
      </c>
      <c r="F271" s="7" t="s">
        <v>179</v>
      </c>
      <c r="G271" s="7" t="s">
        <v>501</v>
      </c>
      <c r="H271" s="7">
        <v>7.5600000000000005</v>
      </c>
      <c r="I271" s="9">
        <f t="shared" si="9"/>
        <v>1</v>
      </c>
      <c r="J271">
        <f t="shared" si="10"/>
        <v>6</v>
      </c>
    </row>
    <row r="272" spans="2:10" ht="14.3" customHeight="1">
      <c r="B272" s="6">
        <v>269</v>
      </c>
      <c r="C272" s="7" t="s">
        <v>502</v>
      </c>
      <c r="D272" s="8">
        <v>43078</v>
      </c>
      <c r="E272" s="8">
        <v>43082</v>
      </c>
      <c r="F272" s="7" t="s">
        <v>503</v>
      </c>
      <c r="G272" s="7" t="s">
        <v>504</v>
      </c>
      <c r="H272" s="7">
        <v>37.207999999999998</v>
      </c>
      <c r="I272" s="9">
        <f t="shared" si="9"/>
        <v>12</v>
      </c>
      <c r="J272">
        <f t="shared" si="10"/>
        <v>4</v>
      </c>
    </row>
    <row r="273" spans="2:10" ht="14.3" customHeight="1">
      <c r="B273" s="6">
        <v>270</v>
      </c>
      <c r="C273" s="7" t="s">
        <v>502</v>
      </c>
      <c r="D273" s="8">
        <v>43078</v>
      </c>
      <c r="E273" s="8">
        <v>43082</v>
      </c>
      <c r="F273" s="7" t="s">
        <v>503</v>
      </c>
      <c r="G273" s="7" t="s">
        <v>505</v>
      </c>
      <c r="H273" s="7">
        <v>57.576000000000001</v>
      </c>
      <c r="I273" s="9">
        <f t="shared" si="9"/>
        <v>12</v>
      </c>
      <c r="J273">
        <f t="shared" si="10"/>
        <v>4</v>
      </c>
    </row>
    <row r="274" spans="2:10" ht="14.3" customHeight="1">
      <c r="B274" s="6">
        <v>271</v>
      </c>
      <c r="C274" s="7" t="s">
        <v>506</v>
      </c>
      <c r="D274" s="8">
        <v>43097</v>
      </c>
      <c r="E274" s="8">
        <v>43102</v>
      </c>
      <c r="F274" s="7" t="s">
        <v>507</v>
      </c>
      <c r="G274" s="7" t="s">
        <v>508</v>
      </c>
      <c r="H274" s="7">
        <v>725.84</v>
      </c>
      <c r="I274" s="9">
        <f t="shared" si="9"/>
        <v>12</v>
      </c>
      <c r="J274">
        <f t="shared" si="10"/>
        <v>5</v>
      </c>
    </row>
    <row r="275" spans="2:10" ht="14.3" customHeight="1">
      <c r="B275" s="6">
        <v>272</v>
      </c>
      <c r="C275" s="7" t="s">
        <v>509</v>
      </c>
      <c r="D275" s="8">
        <v>42215</v>
      </c>
      <c r="E275" s="8">
        <v>42216</v>
      </c>
      <c r="F275" s="7" t="s">
        <v>289</v>
      </c>
      <c r="G275" s="7" t="s">
        <v>510</v>
      </c>
      <c r="H275" s="7">
        <v>209.92999999999998</v>
      </c>
      <c r="I275" s="9">
        <f t="shared" si="9"/>
        <v>7</v>
      </c>
      <c r="J275">
        <f t="shared" si="10"/>
        <v>1</v>
      </c>
    </row>
    <row r="276" spans="2:10" ht="14.3" customHeight="1">
      <c r="B276" s="6">
        <v>273</v>
      </c>
      <c r="C276" s="7" t="s">
        <v>509</v>
      </c>
      <c r="D276" s="8">
        <v>42215</v>
      </c>
      <c r="E276" s="8">
        <v>42216</v>
      </c>
      <c r="F276" s="7" t="s">
        <v>289</v>
      </c>
      <c r="G276" s="7" t="s">
        <v>511</v>
      </c>
      <c r="H276" s="7">
        <v>5.28</v>
      </c>
      <c r="I276" s="9">
        <f t="shared" si="9"/>
        <v>7</v>
      </c>
      <c r="J276">
        <f t="shared" si="10"/>
        <v>1</v>
      </c>
    </row>
    <row r="277" spans="2:10" ht="14.3" customHeight="1">
      <c r="B277" s="6">
        <v>274</v>
      </c>
      <c r="C277" s="7" t="s">
        <v>509</v>
      </c>
      <c r="D277" s="8">
        <v>42215</v>
      </c>
      <c r="E277" s="8">
        <v>42216</v>
      </c>
      <c r="F277" s="7" t="s">
        <v>289</v>
      </c>
      <c r="G277" s="7" t="s">
        <v>512</v>
      </c>
      <c r="H277" s="7">
        <v>10.92</v>
      </c>
      <c r="I277" s="9">
        <f t="shared" si="9"/>
        <v>7</v>
      </c>
      <c r="J277">
        <f t="shared" si="10"/>
        <v>1</v>
      </c>
    </row>
    <row r="278" spans="2:10" ht="14.3" customHeight="1">
      <c r="B278" s="6">
        <v>275</v>
      </c>
      <c r="C278" s="7" t="s">
        <v>513</v>
      </c>
      <c r="D278" s="8">
        <v>42994</v>
      </c>
      <c r="E278" s="8">
        <v>42995</v>
      </c>
      <c r="F278" s="7" t="s">
        <v>514</v>
      </c>
      <c r="G278" s="7" t="s">
        <v>515</v>
      </c>
      <c r="H278" s="7">
        <v>8.82</v>
      </c>
      <c r="I278" s="9">
        <f t="shared" si="9"/>
        <v>9</v>
      </c>
      <c r="J278">
        <f t="shared" si="10"/>
        <v>1</v>
      </c>
    </row>
    <row r="279" spans="2:10" ht="14.3" customHeight="1">
      <c r="B279" s="6">
        <v>276</v>
      </c>
      <c r="C279" s="7" t="s">
        <v>513</v>
      </c>
      <c r="D279" s="8">
        <v>42994</v>
      </c>
      <c r="E279" s="8">
        <v>42995</v>
      </c>
      <c r="F279" s="7" t="s">
        <v>514</v>
      </c>
      <c r="G279" s="7" t="s">
        <v>516</v>
      </c>
      <c r="H279" s="7">
        <v>5.98</v>
      </c>
      <c r="I279" s="9">
        <f t="shared" si="9"/>
        <v>9</v>
      </c>
      <c r="J279">
        <f t="shared" si="10"/>
        <v>1</v>
      </c>
    </row>
    <row r="280" spans="2:10" ht="14.3" customHeight="1">
      <c r="B280" s="6">
        <v>277</v>
      </c>
      <c r="C280" s="7" t="s">
        <v>517</v>
      </c>
      <c r="D280" s="8">
        <v>43021</v>
      </c>
      <c r="E280" s="8">
        <v>43025</v>
      </c>
      <c r="F280" s="7" t="s">
        <v>518</v>
      </c>
      <c r="G280" s="7" t="s">
        <v>519</v>
      </c>
      <c r="H280" s="7">
        <v>11.648000000000001</v>
      </c>
      <c r="I280" s="9">
        <f t="shared" si="9"/>
        <v>10</v>
      </c>
      <c r="J280">
        <f t="shared" si="10"/>
        <v>4</v>
      </c>
    </row>
    <row r="281" spans="2:10" ht="14.3" customHeight="1">
      <c r="B281" s="6">
        <v>278</v>
      </c>
      <c r="C281" s="7" t="s">
        <v>517</v>
      </c>
      <c r="D281" s="8">
        <v>43021</v>
      </c>
      <c r="E281" s="8">
        <v>43025</v>
      </c>
      <c r="F281" s="7" t="s">
        <v>518</v>
      </c>
      <c r="G281" s="7" t="s">
        <v>520</v>
      </c>
      <c r="H281" s="7">
        <v>18.175999999999998</v>
      </c>
      <c r="I281" s="9">
        <f t="shared" si="9"/>
        <v>10</v>
      </c>
      <c r="J281">
        <f t="shared" si="10"/>
        <v>4</v>
      </c>
    </row>
    <row r="282" spans="2:10" ht="14.3" customHeight="1">
      <c r="B282" s="6">
        <v>279</v>
      </c>
      <c r="C282" s="7" t="s">
        <v>517</v>
      </c>
      <c r="D282" s="8">
        <v>43021</v>
      </c>
      <c r="E282" s="8">
        <v>43025</v>
      </c>
      <c r="F282" s="7" t="s">
        <v>518</v>
      </c>
      <c r="G282" s="7" t="s">
        <v>521</v>
      </c>
      <c r="H282" s="7">
        <v>59.712000000000003</v>
      </c>
      <c r="I282" s="9">
        <f t="shared" si="9"/>
        <v>10</v>
      </c>
      <c r="J282">
        <f t="shared" si="10"/>
        <v>4</v>
      </c>
    </row>
    <row r="283" spans="2:10" ht="14.3" customHeight="1">
      <c r="B283" s="6">
        <v>280</v>
      </c>
      <c r="C283" s="7" t="s">
        <v>517</v>
      </c>
      <c r="D283" s="8">
        <v>43021</v>
      </c>
      <c r="E283" s="8">
        <v>43025</v>
      </c>
      <c r="F283" s="7" t="s">
        <v>518</v>
      </c>
      <c r="G283" s="7" t="s">
        <v>522</v>
      </c>
      <c r="H283" s="7">
        <v>24.839999999999996</v>
      </c>
      <c r="I283" s="9">
        <f t="shared" si="9"/>
        <v>10</v>
      </c>
      <c r="J283">
        <f t="shared" si="10"/>
        <v>4</v>
      </c>
    </row>
    <row r="284" spans="2:10" ht="14.3" customHeight="1">
      <c r="B284" s="6">
        <v>281</v>
      </c>
      <c r="C284" s="7" t="s">
        <v>523</v>
      </c>
      <c r="D284" s="8">
        <v>42273</v>
      </c>
      <c r="E284" s="8">
        <v>42275</v>
      </c>
      <c r="F284" s="7" t="s">
        <v>247</v>
      </c>
      <c r="G284" s="7" t="s">
        <v>524</v>
      </c>
      <c r="H284" s="7">
        <v>2.0799999999999996</v>
      </c>
      <c r="I284" s="9">
        <f t="shared" si="9"/>
        <v>9</v>
      </c>
      <c r="J284">
        <f t="shared" si="10"/>
        <v>2</v>
      </c>
    </row>
    <row r="285" spans="2:10" ht="14.3" customHeight="1">
      <c r="B285" s="6">
        <v>282</v>
      </c>
      <c r="C285" s="7" t="s">
        <v>523</v>
      </c>
      <c r="D285" s="8">
        <v>42273</v>
      </c>
      <c r="E285" s="8">
        <v>42275</v>
      </c>
      <c r="F285" s="7" t="s">
        <v>247</v>
      </c>
      <c r="G285" s="7" t="s">
        <v>525</v>
      </c>
      <c r="H285" s="7">
        <v>1114.4000000000001</v>
      </c>
      <c r="I285" s="9">
        <f t="shared" si="9"/>
        <v>9</v>
      </c>
      <c r="J285">
        <f t="shared" si="10"/>
        <v>2</v>
      </c>
    </row>
    <row r="286" spans="2:10" ht="14.3" customHeight="1">
      <c r="B286" s="6">
        <v>283</v>
      </c>
      <c r="C286" s="7" t="s">
        <v>526</v>
      </c>
      <c r="D286" s="8">
        <v>42310</v>
      </c>
      <c r="E286" s="8">
        <v>42314</v>
      </c>
      <c r="F286" s="7" t="s">
        <v>527</v>
      </c>
      <c r="G286" s="7" t="s">
        <v>528</v>
      </c>
      <c r="H286" s="7">
        <v>1038.8399999999999</v>
      </c>
      <c r="I286" s="9">
        <f t="shared" si="9"/>
        <v>11</v>
      </c>
      <c r="J286">
        <f t="shared" si="10"/>
        <v>4</v>
      </c>
    </row>
    <row r="287" spans="2:10" ht="14.3" customHeight="1">
      <c r="B287" s="6">
        <v>284</v>
      </c>
      <c r="C287" s="7" t="s">
        <v>529</v>
      </c>
      <c r="D287" s="8">
        <v>42273</v>
      </c>
      <c r="E287" s="8">
        <v>42279</v>
      </c>
      <c r="F287" s="7" t="s">
        <v>70</v>
      </c>
      <c r="G287" s="7" t="s">
        <v>530</v>
      </c>
      <c r="H287" s="7">
        <v>141.76</v>
      </c>
      <c r="I287" s="9">
        <f t="shared" si="9"/>
        <v>9</v>
      </c>
      <c r="J287">
        <f t="shared" si="10"/>
        <v>6</v>
      </c>
    </row>
    <row r="288" spans="2:10" ht="14.3" customHeight="1">
      <c r="B288" s="6">
        <v>285</v>
      </c>
      <c r="C288" s="7" t="s">
        <v>529</v>
      </c>
      <c r="D288" s="8">
        <v>42273</v>
      </c>
      <c r="E288" s="8">
        <v>42279</v>
      </c>
      <c r="F288" s="7" t="s">
        <v>70</v>
      </c>
      <c r="G288" s="7" t="s">
        <v>531</v>
      </c>
      <c r="H288" s="7">
        <v>239.80000000000004</v>
      </c>
      <c r="I288" s="9">
        <f t="shared" si="9"/>
        <v>9</v>
      </c>
      <c r="J288">
        <f t="shared" si="10"/>
        <v>6</v>
      </c>
    </row>
    <row r="289" spans="2:10" ht="14.3" customHeight="1">
      <c r="B289" s="6">
        <v>286</v>
      </c>
      <c r="C289" s="7" t="s">
        <v>529</v>
      </c>
      <c r="D289" s="8">
        <v>42273</v>
      </c>
      <c r="E289" s="8">
        <v>42279</v>
      </c>
      <c r="F289" s="7" t="s">
        <v>70</v>
      </c>
      <c r="G289" s="7" t="s">
        <v>532</v>
      </c>
      <c r="H289" s="7">
        <v>31.104000000000006</v>
      </c>
      <c r="I289" s="9">
        <f t="shared" si="9"/>
        <v>9</v>
      </c>
      <c r="J289">
        <f t="shared" si="10"/>
        <v>6</v>
      </c>
    </row>
    <row r="290" spans="2:10" ht="14.3" customHeight="1">
      <c r="B290" s="6">
        <v>287</v>
      </c>
      <c r="C290" s="7" t="s">
        <v>533</v>
      </c>
      <c r="D290" s="8">
        <v>42722</v>
      </c>
      <c r="E290" s="8">
        <v>42724</v>
      </c>
      <c r="F290" s="7" t="s">
        <v>534</v>
      </c>
      <c r="G290" s="7" t="s">
        <v>535</v>
      </c>
      <c r="H290" s="7">
        <v>254.05800000000002</v>
      </c>
      <c r="I290" s="9">
        <f t="shared" si="9"/>
        <v>12</v>
      </c>
      <c r="J290">
        <f t="shared" si="10"/>
        <v>2</v>
      </c>
    </row>
    <row r="291" spans="2:10" ht="14.3" customHeight="1">
      <c r="B291" s="6">
        <v>288</v>
      </c>
      <c r="C291" s="7" t="s">
        <v>533</v>
      </c>
      <c r="D291" s="8">
        <v>42722</v>
      </c>
      <c r="E291" s="8">
        <v>42724</v>
      </c>
      <c r="F291" s="7" t="s">
        <v>534</v>
      </c>
      <c r="G291" s="7" t="s">
        <v>348</v>
      </c>
      <c r="H291" s="7">
        <v>194.52800000000002</v>
      </c>
      <c r="I291" s="9">
        <f t="shared" si="9"/>
        <v>12</v>
      </c>
      <c r="J291">
        <f t="shared" si="10"/>
        <v>2</v>
      </c>
    </row>
    <row r="292" spans="2:10" ht="14.3" customHeight="1">
      <c r="B292" s="6">
        <v>289</v>
      </c>
      <c r="C292" s="7" t="s">
        <v>533</v>
      </c>
      <c r="D292" s="8">
        <v>42722</v>
      </c>
      <c r="E292" s="8">
        <v>42724</v>
      </c>
      <c r="F292" s="7" t="s">
        <v>534</v>
      </c>
      <c r="G292" s="7" t="s">
        <v>536</v>
      </c>
      <c r="H292" s="7">
        <v>961.48000000000013</v>
      </c>
      <c r="I292" s="9">
        <f t="shared" si="9"/>
        <v>12</v>
      </c>
      <c r="J292">
        <f t="shared" si="10"/>
        <v>2</v>
      </c>
    </row>
    <row r="293" spans="2:10" ht="14.3" customHeight="1">
      <c r="B293" s="6">
        <v>290</v>
      </c>
      <c r="C293" s="7" t="s">
        <v>537</v>
      </c>
      <c r="D293" s="8">
        <v>42694</v>
      </c>
      <c r="E293" s="8">
        <v>42698</v>
      </c>
      <c r="F293" s="7" t="s">
        <v>538</v>
      </c>
      <c r="G293" s="7" t="s">
        <v>539</v>
      </c>
      <c r="H293" s="7">
        <v>19.096</v>
      </c>
      <c r="I293" s="9">
        <f t="shared" si="9"/>
        <v>11</v>
      </c>
      <c r="J293">
        <f t="shared" si="10"/>
        <v>4</v>
      </c>
    </row>
    <row r="294" spans="2:10" ht="14.3" customHeight="1">
      <c r="B294" s="6">
        <v>291</v>
      </c>
      <c r="C294" s="7" t="s">
        <v>537</v>
      </c>
      <c r="D294" s="8">
        <v>42694</v>
      </c>
      <c r="E294" s="8">
        <v>42698</v>
      </c>
      <c r="F294" s="7" t="s">
        <v>538</v>
      </c>
      <c r="G294" s="7" t="s">
        <v>540</v>
      </c>
      <c r="H294" s="7">
        <v>18.496000000000002</v>
      </c>
      <c r="I294" s="9">
        <f t="shared" si="9"/>
        <v>11</v>
      </c>
      <c r="J294">
        <f t="shared" si="10"/>
        <v>4</v>
      </c>
    </row>
    <row r="295" spans="2:10" ht="14.3" customHeight="1">
      <c r="B295" s="6">
        <v>292</v>
      </c>
      <c r="C295" s="7" t="s">
        <v>537</v>
      </c>
      <c r="D295" s="8">
        <v>42694</v>
      </c>
      <c r="E295" s="8">
        <v>42698</v>
      </c>
      <c r="F295" s="7" t="s">
        <v>538</v>
      </c>
      <c r="G295" s="7" t="s">
        <v>541</v>
      </c>
      <c r="H295" s="7">
        <v>255.98400000000004</v>
      </c>
      <c r="I295" s="9">
        <f t="shared" si="9"/>
        <v>11</v>
      </c>
      <c r="J295">
        <f t="shared" si="10"/>
        <v>4</v>
      </c>
    </row>
    <row r="296" spans="2:10" ht="14.3" customHeight="1">
      <c r="B296" s="6">
        <v>293</v>
      </c>
      <c r="C296" s="7" t="s">
        <v>537</v>
      </c>
      <c r="D296" s="8">
        <v>42694</v>
      </c>
      <c r="E296" s="8">
        <v>42698</v>
      </c>
      <c r="F296" s="7" t="s">
        <v>538</v>
      </c>
      <c r="G296" s="7" t="s">
        <v>542</v>
      </c>
      <c r="H296" s="7">
        <v>86.97</v>
      </c>
      <c r="I296" s="9">
        <f t="shared" si="9"/>
        <v>11</v>
      </c>
      <c r="J296">
        <f t="shared" si="10"/>
        <v>4</v>
      </c>
    </row>
    <row r="297" spans="2:10" ht="14.3" customHeight="1">
      <c r="B297" s="6">
        <v>294</v>
      </c>
      <c r="C297" s="7" t="s">
        <v>543</v>
      </c>
      <c r="D297" s="8">
        <v>41999</v>
      </c>
      <c r="E297" s="8">
        <v>42001</v>
      </c>
      <c r="F297" s="7" t="s">
        <v>544</v>
      </c>
      <c r="G297" s="7" t="s">
        <v>545</v>
      </c>
      <c r="H297" s="7">
        <v>300.416</v>
      </c>
      <c r="I297" s="9">
        <f t="shared" si="9"/>
        <v>12</v>
      </c>
      <c r="J297">
        <f t="shared" si="10"/>
        <v>2</v>
      </c>
    </row>
    <row r="298" spans="2:10" ht="14.3" customHeight="1">
      <c r="B298" s="6">
        <v>295</v>
      </c>
      <c r="C298" s="7" t="s">
        <v>543</v>
      </c>
      <c r="D298" s="8">
        <v>41999</v>
      </c>
      <c r="E298" s="8">
        <v>42001</v>
      </c>
      <c r="F298" s="7" t="s">
        <v>544</v>
      </c>
      <c r="G298" s="7" t="s">
        <v>546</v>
      </c>
      <c r="H298" s="7">
        <v>230.35200000000003</v>
      </c>
      <c r="I298" s="9">
        <f t="shared" si="9"/>
        <v>12</v>
      </c>
      <c r="J298">
        <f t="shared" si="10"/>
        <v>2</v>
      </c>
    </row>
    <row r="299" spans="2:10" ht="14.3" customHeight="1">
      <c r="B299" s="6">
        <v>296</v>
      </c>
      <c r="C299" s="7" t="s">
        <v>543</v>
      </c>
      <c r="D299" s="8">
        <v>41999</v>
      </c>
      <c r="E299" s="8">
        <v>42001</v>
      </c>
      <c r="F299" s="7" t="s">
        <v>544</v>
      </c>
      <c r="G299" s="7" t="s">
        <v>547</v>
      </c>
      <c r="H299" s="7">
        <v>218.35200000000003</v>
      </c>
      <c r="I299" s="9">
        <f t="shared" si="9"/>
        <v>12</v>
      </c>
      <c r="J299">
        <f t="shared" si="10"/>
        <v>2</v>
      </c>
    </row>
    <row r="300" spans="2:10" ht="14.3" customHeight="1">
      <c r="B300" s="6">
        <v>297</v>
      </c>
      <c r="C300" s="7" t="s">
        <v>543</v>
      </c>
      <c r="D300" s="8">
        <v>41999</v>
      </c>
      <c r="E300" s="8">
        <v>42001</v>
      </c>
      <c r="F300" s="7" t="s">
        <v>544</v>
      </c>
      <c r="G300" s="7" t="s">
        <v>548</v>
      </c>
      <c r="H300" s="7">
        <v>78.600000000000009</v>
      </c>
      <c r="I300" s="9">
        <f t="shared" si="9"/>
        <v>12</v>
      </c>
      <c r="J300">
        <f t="shared" si="10"/>
        <v>2</v>
      </c>
    </row>
    <row r="301" spans="2:10" ht="14.3" customHeight="1">
      <c r="B301" s="6">
        <v>298</v>
      </c>
      <c r="C301" s="7" t="s">
        <v>543</v>
      </c>
      <c r="D301" s="8">
        <v>41999</v>
      </c>
      <c r="E301" s="8">
        <v>42001</v>
      </c>
      <c r="F301" s="7" t="s">
        <v>544</v>
      </c>
      <c r="G301" s="7" t="s">
        <v>549</v>
      </c>
      <c r="H301" s="7">
        <v>27.552000000000003</v>
      </c>
      <c r="I301" s="9">
        <f t="shared" si="9"/>
        <v>12</v>
      </c>
      <c r="J301">
        <f t="shared" si="10"/>
        <v>2</v>
      </c>
    </row>
    <row r="302" spans="2:10" ht="14.3" customHeight="1">
      <c r="B302" s="6">
        <v>299</v>
      </c>
      <c r="C302" s="7" t="s">
        <v>550</v>
      </c>
      <c r="D302" s="8">
        <v>42671</v>
      </c>
      <c r="E302" s="8">
        <v>42677</v>
      </c>
      <c r="F302" s="7" t="s">
        <v>279</v>
      </c>
      <c r="G302" s="7" t="s">
        <v>551</v>
      </c>
      <c r="H302" s="7">
        <v>32.400000000000006</v>
      </c>
      <c r="I302" s="9">
        <f t="shared" si="9"/>
        <v>10</v>
      </c>
      <c r="J302">
        <f t="shared" si="10"/>
        <v>6</v>
      </c>
    </row>
    <row r="303" spans="2:10" ht="14.3" customHeight="1">
      <c r="B303" s="6">
        <v>300</v>
      </c>
      <c r="C303" s="7" t="s">
        <v>550</v>
      </c>
      <c r="D303" s="8">
        <v>42671</v>
      </c>
      <c r="E303" s="8">
        <v>42677</v>
      </c>
      <c r="F303" s="7" t="s">
        <v>279</v>
      </c>
      <c r="G303" s="7" t="s">
        <v>552</v>
      </c>
      <c r="H303" s="7">
        <v>1082.48</v>
      </c>
      <c r="I303" s="9">
        <f t="shared" si="9"/>
        <v>10</v>
      </c>
      <c r="J303">
        <f t="shared" si="10"/>
        <v>6</v>
      </c>
    </row>
    <row r="304" spans="2:10" ht="14.3" customHeight="1">
      <c r="B304" s="6">
        <v>301</v>
      </c>
      <c r="C304" s="7" t="s">
        <v>550</v>
      </c>
      <c r="D304" s="8">
        <v>42671</v>
      </c>
      <c r="E304" s="8">
        <v>42677</v>
      </c>
      <c r="F304" s="7" t="s">
        <v>279</v>
      </c>
      <c r="G304" s="7" t="s">
        <v>553</v>
      </c>
      <c r="H304" s="7">
        <v>56.91</v>
      </c>
      <c r="I304" s="9">
        <f t="shared" si="9"/>
        <v>10</v>
      </c>
      <c r="J304">
        <f t="shared" si="10"/>
        <v>6</v>
      </c>
    </row>
    <row r="305" spans="2:10" ht="14.3" customHeight="1">
      <c r="B305" s="6">
        <v>302</v>
      </c>
      <c r="C305" s="7" t="s">
        <v>550</v>
      </c>
      <c r="D305" s="8">
        <v>42671</v>
      </c>
      <c r="E305" s="8">
        <v>42677</v>
      </c>
      <c r="F305" s="7" t="s">
        <v>279</v>
      </c>
      <c r="G305" s="7" t="s">
        <v>554</v>
      </c>
      <c r="H305" s="7">
        <v>77.599999999999994</v>
      </c>
      <c r="I305" s="9">
        <f t="shared" si="9"/>
        <v>10</v>
      </c>
      <c r="J305">
        <f t="shared" si="10"/>
        <v>6</v>
      </c>
    </row>
    <row r="306" spans="2:10" ht="14.3" customHeight="1">
      <c r="B306" s="6">
        <v>303</v>
      </c>
      <c r="C306" s="7" t="s">
        <v>550</v>
      </c>
      <c r="D306" s="8">
        <v>42671</v>
      </c>
      <c r="E306" s="8">
        <v>42677</v>
      </c>
      <c r="F306" s="7" t="s">
        <v>279</v>
      </c>
      <c r="G306" s="7" t="s">
        <v>555</v>
      </c>
      <c r="H306" s="7">
        <v>14.28</v>
      </c>
      <c r="I306" s="9">
        <f t="shared" si="9"/>
        <v>10</v>
      </c>
      <c r="J306">
        <f t="shared" si="10"/>
        <v>6</v>
      </c>
    </row>
    <row r="307" spans="2:10" ht="14.3" customHeight="1">
      <c r="B307" s="6">
        <v>304</v>
      </c>
      <c r="C307" s="7" t="s">
        <v>556</v>
      </c>
      <c r="D307" s="8">
        <v>43058</v>
      </c>
      <c r="E307" s="8">
        <v>43062</v>
      </c>
      <c r="F307" s="7" t="s">
        <v>424</v>
      </c>
      <c r="G307" s="7" t="s">
        <v>557</v>
      </c>
      <c r="H307" s="7">
        <v>219.07500000000002</v>
      </c>
      <c r="I307" s="9">
        <f t="shared" si="9"/>
        <v>11</v>
      </c>
      <c r="J307">
        <f t="shared" si="10"/>
        <v>4</v>
      </c>
    </row>
    <row r="308" spans="2:10" ht="14.3" customHeight="1">
      <c r="B308" s="6">
        <v>305</v>
      </c>
      <c r="C308" s="7" t="s">
        <v>558</v>
      </c>
      <c r="D308" s="8">
        <v>42128</v>
      </c>
      <c r="E308" s="8">
        <v>42133</v>
      </c>
      <c r="F308" s="7" t="s">
        <v>559</v>
      </c>
      <c r="G308" s="7" t="s">
        <v>560</v>
      </c>
      <c r="H308" s="7">
        <v>26.8</v>
      </c>
      <c r="I308" s="9">
        <f t="shared" si="9"/>
        <v>5</v>
      </c>
      <c r="J308">
        <f t="shared" si="10"/>
        <v>5</v>
      </c>
    </row>
    <row r="309" spans="2:10" ht="14.3" customHeight="1">
      <c r="B309" s="6">
        <v>306</v>
      </c>
      <c r="C309" s="7" t="s">
        <v>561</v>
      </c>
      <c r="D309" s="8">
        <v>42003</v>
      </c>
      <c r="E309" s="8">
        <v>42008</v>
      </c>
      <c r="F309" s="7" t="s">
        <v>156</v>
      </c>
      <c r="G309" s="7" t="s">
        <v>562</v>
      </c>
      <c r="H309" s="7">
        <v>9.84</v>
      </c>
      <c r="I309" s="9">
        <f t="shared" si="9"/>
        <v>12</v>
      </c>
      <c r="J309">
        <f t="shared" si="10"/>
        <v>5</v>
      </c>
    </row>
    <row r="310" spans="2:10" ht="14.3" customHeight="1">
      <c r="B310" s="6">
        <v>307</v>
      </c>
      <c r="C310" s="7" t="s">
        <v>563</v>
      </c>
      <c r="D310" s="8">
        <v>41791</v>
      </c>
      <c r="E310" s="8">
        <v>41796</v>
      </c>
      <c r="F310" s="7" t="s">
        <v>564</v>
      </c>
      <c r="G310" s="7" t="s">
        <v>565</v>
      </c>
      <c r="H310" s="7">
        <v>45.480000000000004</v>
      </c>
      <c r="I310" s="9">
        <f t="shared" si="9"/>
        <v>6</v>
      </c>
      <c r="J310">
        <f t="shared" si="10"/>
        <v>5</v>
      </c>
    </row>
    <row r="311" spans="2:10" ht="14.3" customHeight="1">
      <c r="B311" s="6">
        <v>308</v>
      </c>
      <c r="C311" s="7" t="s">
        <v>563</v>
      </c>
      <c r="D311" s="8">
        <v>41791</v>
      </c>
      <c r="E311" s="8">
        <v>41796</v>
      </c>
      <c r="F311" s="7" t="s">
        <v>564</v>
      </c>
      <c r="G311" s="7" t="s">
        <v>566</v>
      </c>
      <c r="H311" s="7">
        <v>289.20000000000005</v>
      </c>
      <c r="I311" s="9">
        <f t="shared" si="9"/>
        <v>6</v>
      </c>
      <c r="J311">
        <f t="shared" si="10"/>
        <v>5</v>
      </c>
    </row>
    <row r="312" spans="2:10" ht="14.3" customHeight="1">
      <c r="B312" s="6">
        <v>309</v>
      </c>
      <c r="C312" s="7" t="s">
        <v>567</v>
      </c>
      <c r="D312" s="8">
        <v>42840</v>
      </c>
      <c r="E312" s="8">
        <v>42842</v>
      </c>
      <c r="F312" s="7" t="s">
        <v>568</v>
      </c>
      <c r="G312" s="7" t="s">
        <v>569</v>
      </c>
      <c r="H312" s="7">
        <v>4.8899999999999997</v>
      </c>
      <c r="I312" s="9">
        <f t="shared" si="9"/>
        <v>4</v>
      </c>
      <c r="J312">
        <f t="shared" si="10"/>
        <v>2</v>
      </c>
    </row>
    <row r="313" spans="2:10" ht="14.3" customHeight="1">
      <c r="B313" s="6">
        <v>310</v>
      </c>
      <c r="C313" s="7" t="s">
        <v>570</v>
      </c>
      <c r="D313" s="8">
        <v>42625</v>
      </c>
      <c r="E313" s="8">
        <v>42627</v>
      </c>
      <c r="F313" s="7" t="s">
        <v>571</v>
      </c>
      <c r="G313" s="7" t="s">
        <v>572</v>
      </c>
      <c r="H313" s="7">
        <v>15.136000000000003</v>
      </c>
      <c r="I313" s="9">
        <f t="shared" si="9"/>
        <v>9</v>
      </c>
      <c r="J313">
        <f t="shared" si="10"/>
        <v>2</v>
      </c>
    </row>
    <row r="314" spans="2:10" ht="14.3" customHeight="1">
      <c r="B314" s="6">
        <v>311</v>
      </c>
      <c r="C314" s="7" t="s">
        <v>570</v>
      </c>
      <c r="D314" s="8">
        <v>42625</v>
      </c>
      <c r="E314" s="8">
        <v>42627</v>
      </c>
      <c r="F314" s="7" t="s">
        <v>571</v>
      </c>
      <c r="G314" s="7" t="s">
        <v>573</v>
      </c>
      <c r="H314" s="7">
        <v>466.76800000000003</v>
      </c>
      <c r="I314" s="9">
        <f t="shared" si="9"/>
        <v>9</v>
      </c>
      <c r="J314">
        <f t="shared" si="10"/>
        <v>2</v>
      </c>
    </row>
    <row r="315" spans="2:10" ht="14.3" customHeight="1">
      <c r="B315" s="6">
        <v>312</v>
      </c>
      <c r="C315" s="7" t="s">
        <v>570</v>
      </c>
      <c r="D315" s="8">
        <v>42625</v>
      </c>
      <c r="E315" s="8">
        <v>42627</v>
      </c>
      <c r="F315" s="7" t="s">
        <v>571</v>
      </c>
      <c r="G315" s="7" t="s">
        <v>574</v>
      </c>
      <c r="H315" s="7">
        <v>15.231999999999999</v>
      </c>
      <c r="I315" s="9">
        <f t="shared" si="9"/>
        <v>9</v>
      </c>
      <c r="J315">
        <f t="shared" si="10"/>
        <v>2</v>
      </c>
    </row>
    <row r="316" spans="2:10" ht="14.3" customHeight="1">
      <c r="B316" s="6">
        <v>313</v>
      </c>
      <c r="C316" s="7" t="s">
        <v>570</v>
      </c>
      <c r="D316" s="8">
        <v>42625</v>
      </c>
      <c r="E316" s="8">
        <v>42627</v>
      </c>
      <c r="F316" s="7" t="s">
        <v>571</v>
      </c>
      <c r="G316" s="7" t="s">
        <v>575</v>
      </c>
      <c r="H316" s="7">
        <v>6.2640000000000002</v>
      </c>
      <c r="I316" s="9">
        <f t="shared" si="9"/>
        <v>9</v>
      </c>
      <c r="J316">
        <f t="shared" si="10"/>
        <v>2</v>
      </c>
    </row>
    <row r="317" spans="2:10" ht="14.3" customHeight="1">
      <c r="B317" s="6">
        <v>314</v>
      </c>
      <c r="C317" s="7" t="s">
        <v>576</v>
      </c>
      <c r="D317" s="8">
        <v>41909</v>
      </c>
      <c r="E317" s="8">
        <v>41915</v>
      </c>
      <c r="F317" s="7" t="s">
        <v>577</v>
      </c>
      <c r="G317" s="7" t="s">
        <v>578</v>
      </c>
      <c r="H317" s="7">
        <v>87.539999999999992</v>
      </c>
      <c r="I317" s="9">
        <f t="shared" si="9"/>
        <v>9</v>
      </c>
      <c r="J317">
        <f t="shared" si="10"/>
        <v>6</v>
      </c>
    </row>
    <row r="318" spans="2:10" ht="14.3" customHeight="1">
      <c r="B318" s="6">
        <v>315</v>
      </c>
      <c r="C318" s="7" t="s">
        <v>579</v>
      </c>
      <c r="D318" s="8">
        <v>41860</v>
      </c>
      <c r="E318" s="8">
        <v>41867</v>
      </c>
      <c r="F318" s="7" t="s">
        <v>580</v>
      </c>
      <c r="G318" s="7" t="s">
        <v>581</v>
      </c>
      <c r="H318" s="7">
        <v>178.38400000000001</v>
      </c>
      <c r="I318" s="9">
        <f t="shared" si="9"/>
        <v>8</v>
      </c>
      <c r="J318">
        <f t="shared" si="10"/>
        <v>7</v>
      </c>
    </row>
    <row r="319" spans="2:10" ht="14.3" customHeight="1">
      <c r="B319" s="6">
        <v>316</v>
      </c>
      <c r="C319" s="7" t="s">
        <v>579</v>
      </c>
      <c r="D319" s="8">
        <v>41860</v>
      </c>
      <c r="E319" s="8">
        <v>41867</v>
      </c>
      <c r="F319" s="7" t="s">
        <v>580</v>
      </c>
      <c r="G319" s="7" t="s">
        <v>582</v>
      </c>
      <c r="H319" s="7">
        <v>15.552000000000003</v>
      </c>
      <c r="I319" s="9">
        <f t="shared" si="9"/>
        <v>8</v>
      </c>
      <c r="J319">
        <f t="shared" si="10"/>
        <v>7</v>
      </c>
    </row>
    <row r="320" spans="2:10" ht="14.3" customHeight="1">
      <c r="B320" s="6">
        <v>317</v>
      </c>
      <c r="C320" s="7" t="s">
        <v>583</v>
      </c>
      <c r="D320" s="8">
        <v>42001</v>
      </c>
      <c r="E320" s="8">
        <v>42003</v>
      </c>
      <c r="F320" s="7" t="s">
        <v>584</v>
      </c>
      <c r="G320" s="7" t="s">
        <v>585</v>
      </c>
      <c r="H320" s="7">
        <v>99.13600000000001</v>
      </c>
      <c r="I320" s="9">
        <f t="shared" si="9"/>
        <v>12</v>
      </c>
      <c r="J320">
        <f t="shared" si="10"/>
        <v>2</v>
      </c>
    </row>
    <row r="321" spans="2:10" ht="14.3" customHeight="1">
      <c r="B321" s="6">
        <v>318</v>
      </c>
      <c r="C321" s="7" t="s">
        <v>586</v>
      </c>
      <c r="D321" s="8">
        <v>41947</v>
      </c>
      <c r="E321" s="8">
        <v>41952</v>
      </c>
      <c r="F321" s="7" t="s">
        <v>587</v>
      </c>
      <c r="G321" s="7" t="s">
        <v>588</v>
      </c>
      <c r="H321" s="7">
        <v>135.88200000000001</v>
      </c>
      <c r="I321" s="9">
        <f t="shared" si="9"/>
        <v>11</v>
      </c>
      <c r="J321">
        <f t="shared" si="10"/>
        <v>5</v>
      </c>
    </row>
    <row r="322" spans="2:10" ht="14.3" customHeight="1">
      <c r="B322" s="6">
        <v>319</v>
      </c>
      <c r="C322" s="7" t="s">
        <v>586</v>
      </c>
      <c r="D322" s="8">
        <v>41947</v>
      </c>
      <c r="E322" s="8">
        <v>41952</v>
      </c>
      <c r="F322" s="7" t="s">
        <v>587</v>
      </c>
      <c r="G322" s="7" t="s">
        <v>589</v>
      </c>
      <c r="H322" s="7">
        <v>3991.98</v>
      </c>
      <c r="I322" s="9">
        <f t="shared" si="9"/>
        <v>11</v>
      </c>
      <c r="J322">
        <f t="shared" si="10"/>
        <v>5</v>
      </c>
    </row>
    <row r="323" spans="2:10" ht="14.3" customHeight="1">
      <c r="B323" s="6">
        <v>320</v>
      </c>
      <c r="C323" s="7" t="s">
        <v>586</v>
      </c>
      <c r="D323" s="8">
        <v>41947</v>
      </c>
      <c r="E323" s="8">
        <v>41952</v>
      </c>
      <c r="F323" s="7" t="s">
        <v>587</v>
      </c>
      <c r="G323" s="7" t="s">
        <v>93</v>
      </c>
      <c r="H323" s="7">
        <v>275.94</v>
      </c>
      <c r="I323" s="9">
        <f t="shared" si="9"/>
        <v>11</v>
      </c>
      <c r="J323">
        <f t="shared" si="10"/>
        <v>5</v>
      </c>
    </row>
    <row r="324" spans="2:10" ht="14.3" customHeight="1">
      <c r="B324" s="6">
        <v>321</v>
      </c>
      <c r="C324" s="7" t="s">
        <v>586</v>
      </c>
      <c r="D324" s="8">
        <v>41947</v>
      </c>
      <c r="E324" s="8">
        <v>41952</v>
      </c>
      <c r="F324" s="7" t="s">
        <v>587</v>
      </c>
      <c r="G324" s="7" t="s">
        <v>590</v>
      </c>
      <c r="H324" s="7">
        <v>360</v>
      </c>
      <c r="I324" s="9">
        <f t="shared" si="9"/>
        <v>11</v>
      </c>
      <c r="J324">
        <f t="shared" si="10"/>
        <v>5</v>
      </c>
    </row>
    <row r="325" spans="2:10" ht="14.3" customHeight="1">
      <c r="B325" s="6">
        <v>322</v>
      </c>
      <c r="C325" s="7" t="s">
        <v>586</v>
      </c>
      <c r="D325" s="8">
        <v>41947</v>
      </c>
      <c r="E325" s="8">
        <v>41952</v>
      </c>
      <c r="F325" s="7" t="s">
        <v>587</v>
      </c>
      <c r="G325" s="7" t="s">
        <v>261</v>
      </c>
      <c r="H325" s="7">
        <v>43.57</v>
      </c>
      <c r="I325" s="9">
        <f t="shared" ref="I325:I388" si="11">MONTH(D325)</f>
        <v>11</v>
      </c>
      <c r="J325">
        <f t="shared" ref="J325:J388" si="12">DATEDIF(D325,E325,"D")</f>
        <v>5</v>
      </c>
    </row>
    <row r="326" spans="2:10" ht="14.3" customHeight="1">
      <c r="B326" s="6">
        <v>323</v>
      </c>
      <c r="C326" s="7" t="s">
        <v>591</v>
      </c>
      <c r="D326" s="8">
        <v>41901</v>
      </c>
      <c r="E326" s="8">
        <v>41906</v>
      </c>
      <c r="F326" s="7" t="s">
        <v>592</v>
      </c>
      <c r="G326" s="7" t="s">
        <v>593</v>
      </c>
      <c r="H326" s="7">
        <v>7.16</v>
      </c>
      <c r="I326" s="9">
        <f t="shared" si="11"/>
        <v>9</v>
      </c>
      <c r="J326">
        <f t="shared" si="12"/>
        <v>5</v>
      </c>
    </row>
    <row r="327" spans="2:10" ht="14.3" customHeight="1">
      <c r="B327" s="6">
        <v>324</v>
      </c>
      <c r="C327" s="7" t="s">
        <v>594</v>
      </c>
      <c r="D327" s="8">
        <v>42483</v>
      </c>
      <c r="E327" s="8">
        <v>42487</v>
      </c>
      <c r="F327" s="7" t="s">
        <v>595</v>
      </c>
      <c r="G327" s="7" t="s">
        <v>548</v>
      </c>
      <c r="H327" s="7">
        <v>251.52</v>
      </c>
      <c r="I327" s="9">
        <f t="shared" si="11"/>
        <v>4</v>
      </c>
      <c r="J327">
        <f t="shared" si="12"/>
        <v>4</v>
      </c>
    </row>
    <row r="328" spans="2:10" ht="14.3" customHeight="1">
      <c r="B328" s="6">
        <v>325</v>
      </c>
      <c r="C328" s="7" t="s">
        <v>594</v>
      </c>
      <c r="D328" s="8">
        <v>42483</v>
      </c>
      <c r="E328" s="8">
        <v>42487</v>
      </c>
      <c r="F328" s="7" t="s">
        <v>595</v>
      </c>
      <c r="G328" s="7" t="s">
        <v>596</v>
      </c>
      <c r="H328" s="7">
        <v>99.99</v>
      </c>
      <c r="I328" s="9">
        <f t="shared" si="11"/>
        <v>4</v>
      </c>
      <c r="J328">
        <f t="shared" si="12"/>
        <v>4</v>
      </c>
    </row>
    <row r="329" spans="2:10" ht="14.3" customHeight="1">
      <c r="B329" s="6">
        <v>326</v>
      </c>
      <c r="C329" s="7" t="s">
        <v>597</v>
      </c>
      <c r="D329" s="8">
        <v>43042</v>
      </c>
      <c r="E329" s="8">
        <v>43044</v>
      </c>
      <c r="F329" s="7" t="s">
        <v>598</v>
      </c>
      <c r="G329" s="7" t="s">
        <v>599</v>
      </c>
      <c r="H329" s="7">
        <v>15.991999999999999</v>
      </c>
      <c r="I329" s="9">
        <f t="shared" si="11"/>
        <v>11</v>
      </c>
      <c r="J329">
        <f t="shared" si="12"/>
        <v>2</v>
      </c>
    </row>
    <row r="330" spans="2:10" ht="14.3" customHeight="1">
      <c r="B330" s="6">
        <v>327</v>
      </c>
      <c r="C330" s="7" t="s">
        <v>600</v>
      </c>
      <c r="D330" s="8">
        <v>42612</v>
      </c>
      <c r="E330" s="8">
        <v>42614</v>
      </c>
      <c r="F330" s="7" t="s">
        <v>601</v>
      </c>
      <c r="G330" s="7" t="s">
        <v>602</v>
      </c>
      <c r="H330" s="7">
        <v>290.89800000000002</v>
      </c>
      <c r="I330" s="9">
        <f t="shared" si="11"/>
        <v>8</v>
      </c>
      <c r="J330">
        <f t="shared" si="12"/>
        <v>2</v>
      </c>
    </row>
    <row r="331" spans="2:10" ht="14.3" customHeight="1">
      <c r="B331" s="6">
        <v>328</v>
      </c>
      <c r="C331" s="7" t="s">
        <v>600</v>
      </c>
      <c r="D331" s="8">
        <v>42612</v>
      </c>
      <c r="E331" s="8">
        <v>42614</v>
      </c>
      <c r="F331" s="7" t="s">
        <v>601</v>
      </c>
      <c r="G331" s="7" t="s">
        <v>603</v>
      </c>
      <c r="H331" s="7">
        <v>54.224000000000004</v>
      </c>
      <c r="I331" s="9">
        <f t="shared" si="11"/>
        <v>8</v>
      </c>
      <c r="J331">
        <f t="shared" si="12"/>
        <v>2</v>
      </c>
    </row>
    <row r="332" spans="2:10" ht="14.3" customHeight="1">
      <c r="B332" s="6">
        <v>329</v>
      </c>
      <c r="C332" s="7" t="s">
        <v>600</v>
      </c>
      <c r="D332" s="8">
        <v>42612</v>
      </c>
      <c r="E332" s="8">
        <v>42614</v>
      </c>
      <c r="F332" s="7" t="s">
        <v>601</v>
      </c>
      <c r="G332" s="7" t="s">
        <v>604</v>
      </c>
      <c r="H332" s="7">
        <v>786.74400000000003</v>
      </c>
      <c r="I332" s="9">
        <f t="shared" si="11"/>
        <v>8</v>
      </c>
      <c r="J332">
        <f t="shared" si="12"/>
        <v>2</v>
      </c>
    </row>
    <row r="333" spans="2:10" ht="14.3" customHeight="1">
      <c r="B333" s="6">
        <v>330</v>
      </c>
      <c r="C333" s="7" t="s">
        <v>600</v>
      </c>
      <c r="D333" s="8">
        <v>42612</v>
      </c>
      <c r="E333" s="8">
        <v>42614</v>
      </c>
      <c r="F333" s="7" t="s">
        <v>601</v>
      </c>
      <c r="G333" s="7" t="s">
        <v>605</v>
      </c>
      <c r="H333" s="7">
        <v>100.24000000000001</v>
      </c>
      <c r="I333" s="9">
        <f t="shared" si="11"/>
        <v>8</v>
      </c>
      <c r="J333">
        <f t="shared" si="12"/>
        <v>2</v>
      </c>
    </row>
    <row r="334" spans="2:10" ht="14.3" customHeight="1">
      <c r="B334" s="6">
        <v>331</v>
      </c>
      <c r="C334" s="7" t="s">
        <v>600</v>
      </c>
      <c r="D334" s="8">
        <v>42612</v>
      </c>
      <c r="E334" s="8">
        <v>42614</v>
      </c>
      <c r="F334" s="7" t="s">
        <v>601</v>
      </c>
      <c r="G334" s="7" t="s">
        <v>606</v>
      </c>
      <c r="H334" s="7">
        <v>37.76400000000001</v>
      </c>
      <c r="I334" s="9">
        <f t="shared" si="11"/>
        <v>8</v>
      </c>
      <c r="J334">
        <f t="shared" si="12"/>
        <v>2</v>
      </c>
    </row>
    <row r="335" spans="2:10" ht="14.3" customHeight="1">
      <c r="B335" s="6">
        <v>332</v>
      </c>
      <c r="C335" s="7" t="s">
        <v>607</v>
      </c>
      <c r="D335" s="8">
        <v>42485</v>
      </c>
      <c r="E335" s="8">
        <v>42489</v>
      </c>
      <c r="F335" s="7" t="s">
        <v>608</v>
      </c>
      <c r="G335" s="7" t="s">
        <v>609</v>
      </c>
      <c r="H335" s="7">
        <v>82.8</v>
      </c>
      <c r="I335" s="9">
        <f t="shared" si="11"/>
        <v>4</v>
      </c>
      <c r="J335">
        <f t="shared" si="12"/>
        <v>4</v>
      </c>
    </row>
    <row r="336" spans="2:10" ht="14.3" customHeight="1">
      <c r="B336" s="6">
        <v>333</v>
      </c>
      <c r="C336" s="7" t="s">
        <v>607</v>
      </c>
      <c r="D336" s="8">
        <v>42485</v>
      </c>
      <c r="E336" s="8">
        <v>42489</v>
      </c>
      <c r="F336" s="7" t="s">
        <v>608</v>
      </c>
      <c r="G336" s="7" t="s">
        <v>610</v>
      </c>
      <c r="H336" s="7">
        <v>20.724000000000004</v>
      </c>
      <c r="I336" s="9">
        <f t="shared" si="11"/>
        <v>4</v>
      </c>
      <c r="J336">
        <f t="shared" si="12"/>
        <v>4</v>
      </c>
    </row>
    <row r="337" spans="2:10" ht="14.3" customHeight="1">
      <c r="B337" s="6">
        <v>334</v>
      </c>
      <c r="C337" s="7" t="s">
        <v>607</v>
      </c>
      <c r="D337" s="8">
        <v>42485</v>
      </c>
      <c r="E337" s="8">
        <v>42489</v>
      </c>
      <c r="F337" s="7" t="s">
        <v>608</v>
      </c>
      <c r="G337" s="7" t="s">
        <v>611</v>
      </c>
      <c r="H337" s="7">
        <v>4.8960000000000008</v>
      </c>
      <c r="I337" s="9">
        <f t="shared" si="11"/>
        <v>4</v>
      </c>
      <c r="J337">
        <f t="shared" si="12"/>
        <v>4</v>
      </c>
    </row>
    <row r="338" spans="2:10" ht="14.3" customHeight="1">
      <c r="B338" s="6">
        <v>335</v>
      </c>
      <c r="C338" s="7" t="s">
        <v>612</v>
      </c>
      <c r="D338" s="8">
        <v>42248</v>
      </c>
      <c r="E338" s="8">
        <v>42251</v>
      </c>
      <c r="F338" s="7" t="s">
        <v>613</v>
      </c>
      <c r="G338" s="7" t="s">
        <v>614</v>
      </c>
      <c r="H338" s="7">
        <v>4.7520000000000007</v>
      </c>
      <c r="I338" s="9">
        <f t="shared" si="11"/>
        <v>9</v>
      </c>
      <c r="J338">
        <f t="shared" si="12"/>
        <v>3</v>
      </c>
    </row>
    <row r="339" spans="2:10" ht="14.3" customHeight="1">
      <c r="B339" s="6">
        <v>336</v>
      </c>
      <c r="C339" s="7" t="s">
        <v>612</v>
      </c>
      <c r="D339" s="8">
        <v>42248</v>
      </c>
      <c r="E339" s="8">
        <v>42251</v>
      </c>
      <c r="F339" s="7" t="s">
        <v>613</v>
      </c>
      <c r="G339" s="7" t="s">
        <v>615</v>
      </c>
      <c r="H339" s="7">
        <v>959.98400000000004</v>
      </c>
      <c r="I339" s="9">
        <f t="shared" si="11"/>
        <v>9</v>
      </c>
      <c r="J339">
        <f t="shared" si="12"/>
        <v>3</v>
      </c>
    </row>
    <row r="340" spans="2:10" ht="14.3" customHeight="1">
      <c r="B340" s="6">
        <v>337</v>
      </c>
      <c r="C340" s="7" t="s">
        <v>612</v>
      </c>
      <c r="D340" s="8">
        <v>42248</v>
      </c>
      <c r="E340" s="8">
        <v>42251</v>
      </c>
      <c r="F340" s="7" t="s">
        <v>613</v>
      </c>
      <c r="G340" s="7" t="s">
        <v>616</v>
      </c>
      <c r="H340" s="7">
        <v>14.368000000000002</v>
      </c>
      <c r="I340" s="9">
        <f t="shared" si="11"/>
        <v>9</v>
      </c>
      <c r="J340">
        <f t="shared" si="12"/>
        <v>3</v>
      </c>
    </row>
    <row r="341" spans="2:10" ht="14.3" customHeight="1">
      <c r="B341" s="6">
        <v>338</v>
      </c>
      <c r="C341" s="7" t="s">
        <v>617</v>
      </c>
      <c r="D341" s="8">
        <v>41832</v>
      </c>
      <c r="E341" s="8">
        <v>41837</v>
      </c>
      <c r="F341" s="7" t="s">
        <v>618</v>
      </c>
      <c r="G341" s="7" t="s">
        <v>619</v>
      </c>
      <c r="H341" s="7">
        <v>7.7120000000000006</v>
      </c>
      <c r="I341" s="9">
        <f t="shared" si="11"/>
        <v>7</v>
      </c>
      <c r="J341">
        <f t="shared" si="12"/>
        <v>5</v>
      </c>
    </row>
    <row r="342" spans="2:10" ht="14.3" customHeight="1">
      <c r="B342" s="6">
        <v>339</v>
      </c>
      <c r="C342" s="7" t="s">
        <v>617</v>
      </c>
      <c r="D342" s="8">
        <v>41832</v>
      </c>
      <c r="E342" s="8">
        <v>41837</v>
      </c>
      <c r="F342" s="7" t="s">
        <v>618</v>
      </c>
      <c r="G342" s="7" t="s">
        <v>620</v>
      </c>
      <c r="H342" s="7">
        <v>698.35200000000009</v>
      </c>
      <c r="I342" s="9">
        <f t="shared" si="11"/>
        <v>7</v>
      </c>
      <c r="J342">
        <f t="shared" si="12"/>
        <v>5</v>
      </c>
    </row>
    <row r="343" spans="2:10" ht="14.3" customHeight="1">
      <c r="B343" s="6">
        <v>340</v>
      </c>
      <c r="C343" s="7" t="s">
        <v>621</v>
      </c>
      <c r="D343" s="8">
        <v>42177</v>
      </c>
      <c r="E343" s="8">
        <v>42181</v>
      </c>
      <c r="F343" s="7" t="s">
        <v>454</v>
      </c>
      <c r="G343" s="7" t="s">
        <v>622</v>
      </c>
      <c r="H343" s="7">
        <v>4.96</v>
      </c>
      <c r="I343" s="9">
        <f t="shared" si="11"/>
        <v>6</v>
      </c>
      <c r="J343">
        <f t="shared" si="12"/>
        <v>4</v>
      </c>
    </row>
    <row r="344" spans="2:10" ht="14.3" customHeight="1">
      <c r="B344" s="6">
        <v>341</v>
      </c>
      <c r="C344" s="7" t="s">
        <v>623</v>
      </c>
      <c r="D344" s="8">
        <v>41742</v>
      </c>
      <c r="E344" s="8">
        <v>41746</v>
      </c>
      <c r="F344" s="7" t="s">
        <v>279</v>
      </c>
      <c r="G344" s="7" t="s">
        <v>624</v>
      </c>
      <c r="H344" s="7">
        <v>17.856000000000002</v>
      </c>
      <c r="I344" s="9">
        <f t="shared" si="11"/>
        <v>4</v>
      </c>
      <c r="J344">
        <f t="shared" si="12"/>
        <v>4</v>
      </c>
    </row>
    <row r="345" spans="2:10" ht="14.3" customHeight="1">
      <c r="B345" s="6">
        <v>342</v>
      </c>
      <c r="C345" s="7" t="s">
        <v>623</v>
      </c>
      <c r="D345" s="8">
        <v>41742</v>
      </c>
      <c r="E345" s="8">
        <v>41746</v>
      </c>
      <c r="F345" s="7" t="s">
        <v>279</v>
      </c>
      <c r="G345" s="7" t="s">
        <v>40</v>
      </c>
      <c r="H345" s="7">
        <v>509.97000000000008</v>
      </c>
      <c r="I345" s="9">
        <f t="shared" si="11"/>
        <v>4</v>
      </c>
      <c r="J345">
        <f t="shared" si="12"/>
        <v>4</v>
      </c>
    </row>
    <row r="346" spans="2:10" ht="14.3" customHeight="1">
      <c r="B346" s="6">
        <v>343</v>
      </c>
      <c r="C346" s="7" t="s">
        <v>623</v>
      </c>
      <c r="D346" s="8">
        <v>41742</v>
      </c>
      <c r="E346" s="8">
        <v>41746</v>
      </c>
      <c r="F346" s="7" t="s">
        <v>279</v>
      </c>
      <c r="G346" s="7" t="s">
        <v>269</v>
      </c>
      <c r="H346" s="7">
        <v>30.991999999999997</v>
      </c>
      <c r="I346" s="9">
        <f t="shared" si="11"/>
        <v>4</v>
      </c>
      <c r="J346">
        <f t="shared" si="12"/>
        <v>4</v>
      </c>
    </row>
    <row r="347" spans="2:10" ht="14.3" customHeight="1">
      <c r="B347" s="6">
        <v>344</v>
      </c>
      <c r="C347" s="7" t="s">
        <v>623</v>
      </c>
      <c r="D347" s="8">
        <v>41742</v>
      </c>
      <c r="E347" s="8">
        <v>41746</v>
      </c>
      <c r="F347" s="7" t="s">
        <v>279</v>
      </c>
      <c r="G347" s="7" t="s">
        <v>625</v>
      </c>
      <c r="H347" s="7">
        <v>71.927999999999997</v>
      </c>
      <c r="I347" s="9">
        <f t="shared" si="11"/>
        <v>4</v>
      </c>
      <c r="J347">
        <f t="shared" si="12"/>
        <v>4</v>
      </c>
    </row>
    <row r="348" spans="2:10" ht="14.3" customHeight="1">
      <c r="B348" s="6">
        <v>345</v>
      </c>
      <c r="C348" s="7" t="s">
        <v>626</v>
      </c>
      <c r="D348" s="8">
        <v>42358</v>
      </c>
      <c r="E348" s="8">
        <v>42362</v>
      </c>
      <c r="F348" s="7" t="s">
        <v>338</v>
      </c>
      <c r="G348" s="7" t="s">
        <v>50</v>
      </c>
      <c r="H348" s="7">
        <v>88.800000000000011</v>
      </c>
      <c r="I348" s="9">
        <f t="shared" si="11"/>
        <v>12</v>
      </c>
      <c r="J348">
        <f t="shared" si="12"/>
        <v>4</v>
      </c>
    </row>
    <row r="349" spans="2:10" ht="14.3" customHeight="1">
      <c r="B349" s="6">
        <v>346</v>
      </c>
      <c r="C349" s="7" t="s">
        <v>627</v>
      </c>
      <c r="D349" s="8">
        <v>42901</v>
      </c>
      <c r="E349" s="8">
        <v>42905</v>
      </c>
      <c r="F349" s="7" t="s">
        <v>628</v>
      </c>
      <c r="G349" s="7" t="s">
        <v>267</v>
      </c>
      <c r="H349" s="7">
        <v>47.975999999999999</v>
      </c>
      <c r="I349" s="9">
        <f t="shared" si="11"/>
        <v>6</v>
      </c>
      <c r="J349">
        <f t="shared" si="12"/>
        <v>4</v>
      </c>
    </row>
    <row r="350" spans="2:10" ht="14.3" customHeight="1">
      <c r="B350" s="6">
        <v>347</v>
      </c>
      <c r="C350" s="7" t="s">
        <v>629</v>
      </c>
      <c r="D350" s="8">
        <v>42924</v>
      </c>
      <c r="E350" s="8">
        <v>42928</v>
      </c>
      <c r="F350" s="7" t="s">
        <v>630</v>
      </c>
      <c r="G350" s="7" t="s">
        <v>384</v>
      </c>
      <c r="H350" s="7">
        <v>7.5600000000000005</v>
      </c>
      <c r="I350" s="9">
        <f t="shared" si="11"/>
        <v>7</v>
      </c>
      <c r="J350">
        <f t="shared" si="12"/>
        <v>4</v>
      </c>
    </row>
    <row r="351" spans="2:10" ht="14.3" customHeight="1">
      <c r="B351" s="6">
        <v>348</v>
      </c>
      <c r="C351" s="7" t="s">
        <v>629</v>
      </c>
      <c r="D351" s="8">
        <v>42924</v>
      </c>
      <c r="E351" s="8">
        <v>42928</v>
      </c>
      <c r="F351" s="7" t="s">
        <v>630</v>
      </c>
      <c r="G351" s="7" t="s">
        <v>80</v>
      </c>
      <c r="H351" s="7">
        <v>24.56</v>
      </c>
      <c r="I351" s="9">
        <f t="shared" si="11"/>
        <v>7</v>
      </c>
      <c r="J351">
        <f t="shared" si="12"/>
        <v>4</v>
      </c>
    </row>
    <row r="352" spans="2:10" ht="14.3" customHeight="1">
      <c r="B352" s="6">
        <v>349</v>
      </c>
      <c r="C352" s="7" t="s">
        <v>629</v>
      </c>
      <c r="D352" s="8">
        <v>42924</v>
      </c>
      <c r="E352" s="8">
        <v>42928</v>
      </c>
      <c r="F352" s="7" t="s">
        <v>630</v>
      </c>
      <c r="G352" s="7" t="s">
        <v>631</v>
      </c>
      <c r="H352" s="7">
        <v>12.96</v>
      </c>
      <c r="I352" s="9">
        <f t="shared" si="11"/>
        <v>7</v>
      </c>
      <c r="J352">
        <f t="shared" si="12"/>
        <v>4</v>
      </c>
    </row>
    <row r="353" spans="2:10" ht="14.3" customHeight="1">
      <c r="B353" s="6">
        <v>350</v>
      </c>
      <c r="C353" s="7" t="s">
        <v>632</v>
      </c>
      <c r="D353" s="8">
        <v>42614</v>
      </c>
      <c r="E353" s="8">
        <v>42616</v>
      </c>
      <c r="F353" s="7" t="s">
        <v>633</v>
      </c>
      <c r="G353" s="7" t="s">
        <v>482</v>
      </c>
      <c r="H353" s="7">
        <v>6.79</v>
      </c>
      <c r="I353" s="9">
        <f t="shared" si="11"/>
        <v>9</v>
      </c>
      <c r="J353">
        <f t="shared" si="12"/>
        <v>2</v>
      </c>
    </row>
    <row r="354" spans="2:10" ht="14.3" customHeight="1">
      <c r="B354" s="6">
        <v>351</v>
      </c>
      <c r="C354" s="7" t="s">
        <v>632</v>
      </c>
      <c r="D354" s="8">
        <v>42614</v>
      </c>
      <c r="E354" s="8">
        <v>42616</v>
      </c>
      <c r="F354" s="7" t="s">
        <v>633</v>
      </c>
      <c r="G354" s="7" t="s">
        <v>634</v>
      </c>
      <c r="H354" s="7">
        <v>24.56</v>
      </c>
      <c r="I354" s="9">
        <f t="shared" si="11"/>
        <v>9</v>
      </c>
      <c r="J354">
        <f t="shared" si="12"/>
        <v>2</v>
      </c>
    </row>
    <row r="355" spans="2:10" ht="14.3" customHeight="1">
      <c r="B355" s="6">
        <v>352</v>
      </c>
      <c r="C355" s="7" t="s">
        <v>632</v>
      </c>
      <c r="D355" s="8">
        <v>42614</v>
      </c>
      <c r="E355" s="8">
        <v>42616</v>
      </c>
      <c r="F355" s="7" t="s">
        <v>633</v>
      </c>
      <c r="G355" s="7" t="s">
        <v>635</v>
      </c>
      <c r="H355" s="7">
        <v>3.048</v>
      </c>
      <c r="I355" s="9">
        <f t="shared" si="11"/>
        <v>9</v>
      </c>
      <c r="J355">
        <f t="shared" si="12"/>
        <v>2</v>
      </c>
    </row>
    <row r="356" spans="2:10" ht="14.3" customHeight="1">
      <c r="B356" s="6">
        <v>353</v>
      </c>
      <c r="C356" s="7" t="s">
        <v>632</v>
      </c>
      <c r="D356" s="8">
        <v>42614</v>
      </c>
      <c r="E356" s="8">
        <v>42616</v>
      </c>
      <c r="F356" s="7" t="s">
        <v>633</v>
      </c>
      <c r="G356" s="7" t="s">
        <v>634</v>
      </c>
      <c r="H356" s="7">
        <v>49.12</v>
      </c>
      <c r="I356" s="9">
        <f t="shared" si="11"/>
        <v>9</v>
      </c>
      <c r="J356">
        <f t="shared" si="12"/>
        <v>2</v>
      </c>
    </row>
    <row r="357" spans="2:10" ht="14.3" customHeight="1">
      <c r="B357" s="6">
        <v>354</v>
      </c>
      <c r="C357" s="7" t="s">
        <v>632</v>
      </c>
      <c r="D357" s="8">
        <v>42614</v>
      </c>
      <c r="E357" s="8">
        <v>42616</v>
      </c>
      <c r="F357" s="7" t="s">
        <v>633</v>
      </c>
      <c r="G357" s="7" t="s">
        <v>636</v>
      </c>
      <c r="H357" s="7">
        <v>4355.1680000000006</v>
      </c>
      <c r="I357" s="9">
        <f t="shared" si="11"/>
        <v>9</v>
      </c>
      <c r="J357">
        <f t="shared" si="12"/>
        <v>2</v>
      </c>
    </row>
    <row r="358" spans="2:10" ht="14.3" customHeight="1">
      <c r="B358" s="6">
        <v>355</v>
      </c>
      <c r="C358" s="7" t="s">
        <v>637</v>
      </c>
      <c r="D358" s="8">
        <v>42468</v>
      </c>
      <c r="E358" s="8">
        <v>42473</v>
      </c>
      <c r="F358" s="7" t="s">
        <v>638</v>
      </c>
      <c r="G358" s="7" t="s">
        <v>639</v>
      </c>
      <c r="H358" s="7">
        <v>388.70400000000006</v>
      </c>
      <c r="I358" s="9">
        <f t="shared" si="11"/>
        <v>4</v>
      </c>
      <c r="J358">
        <f t="shared" si="12"/>
        <v>5</v>
      </c>
    </row>
    <row r="359" spans="2:10" ht="14.3" customHeight="1">
      <c r="B359" s="6">
        <v>356</v>
      </c>
      <c r="C359" s="7" t="s">
        <v>637</v>
      </c>
      <c r="D359" s="8">
        <v>42468</v>
      </c>
      <c r="E359" s="8">
        <v>42473</v>
      </c>
      <c r="F359" s="7" t="s">
        <v>638</v>
      </c>
      <c r="G359" s="7" t="s">
        <v>640</v>
      </c>
      <c r="H359" s="7">
        <v>8.26</v>
      </c>
      <c r="I359" s="9">
        <f t="shared" si="11"/>
        <v>4</v>
      </c>
      <c r="J359">
        <f t="shared" si="12"/>
        <v>5</v>
      </c>
    </row>
    <row r="360" spans="2:10" ht="14.3" customHeight="1">
      <c r="B360" s="6">
        <v>357</v>
      </c>
      <c r="C360" s="7" t="s">
        <v>637</v>
      </c>
      <c r="D360" s="8">
        <v>42468</v>
      </c>
      <c r="E360" s="8">
        <v>42473</v>
      </c>
      <c r="F360" s="7" t="s">
        <v>638</v>
      </c>
      <c r="G360" s="7" t="s">
        <v>641</v>
      </c>
      <c r="H360" s="7">
        <v>17.04</v>
      </c>
      <c r="I360" s="9">
        <f t="shared" si="11"/>
        <v>4</v>
      </c>
      <c r="J360">
        <f t="shared" si="12"/>
        <v>5</v>
      </c>
    </row>
    <row r="361" spans="2:10" ht="14.3" customHeight="1">
      <c r="B361" s="6">
        <v>358</v>
      </c>
      <c r="C361" s="7" t="s">
        <v>637</v>
      </c>
      <c r="D361" s="8">
        <v>42468</v>
      </c>
      <c r="E361" s="8">
        <v>42473</v>
      </c>
      <c r="F361" s="7" t="s">
        <v>638</v>
      </c>
      <c r="G361" s="7" t="s">
        <v>642</v>
      </c>
      <c r="H361" s="7">
        <v>34.4</v>
      </c>
      <c r="I361" s="9">
        <f t="shared" si="11"/>
        <v>4</v>
      </c>
      <c r="J361">
        <f t="shared" si="12"/>
        <v>5</v>
      </c>
    </row>
    <row r="362" spans="2:10" ht="14.3" customHeight="1">
      <c r="B362" s="6">
        <v>359</v>
      </c>
      <c r="C362" s="7" t="s">
        <v>643</v>
      </c>
      <c r="D362" s="8">
        <v>42483</v>
      </c>
      <c r="E362" s="8">
        <v>42488</v>
      </c>
      <c r="F362" s="7" t="s">
        <v>403</v>
      </c>
      <c r="G362" s="7" t="s">
        <v>394</v>
      </c>
      <c r="H362" s="7">
        <v>36.240000000000009</v>
      </c>
      <c r="I362" s="9">
        <f t="shared" si="11"/>
        <v>4</v>
      </c>
      <c r="J362">
        <f t="shared" si="12"/>
        <v>5</v>
      </c>
    </row>
    <row r="363" spans="2:10" ht="14.3" customHeight="1">
      <c r="B363" s="6">
        <v>360</v>
      </c>
      <c r="C363" s="7" t="s">
        <v>644</v>
      </c>
      <c r="D363" s="8">
        <v>42802</v>
      </c>
      <c r="E363" s="8">
        <v>42805</v>
      </c>
      <c r="F363" s="7" t="s">
        <v>645</v>
      </c>
      <c r="G363" s="7" t="s">
        <v>646</v>
      </c>
      <c r="H363" s="7">
        <v>647.84</v>
      </c>
      <c r="I363" s="9">
        <f t="shared" si="11"/>
        <v>3</v>
      </c>
      <c r="J363">
        <f t="shared" si="12"/>
        <v>3</v>
      </c>
    </row>
    <row r="364" spans="2:10" ht="14.3" customHeight="1">
      <c r="B364" s="6">
        <v>361</v>
      </c>
      <c r="C364" s="7" t="s">
        <v>644</v>
      </c>
      <c r="D364" s="8">
        <v>42802</v>
      </c>
      <c r="E364" s="8">
        <v>42805</v>
      </c>
      <c r="F364" s="7" t="s">
        <v>645</v>
      </c>
      <c r="G364" s="7" t="s">
        <v>647</v>
      </c>
      <c r="H364" s="7">
        <v>20.7</v>
      </c>
      <c r="I364" s="9">
        <f t="shared" si="11"/>
        <v>3</v>
      </c>
      <c r="J364">
        <f t="shared" si="12"/>
        <v>3</v>
      </c>
    </row>
    <row r="365" spans="2:10" ht="14.3" customHeight="1">
      <c r="B365" s="6">
        <v>362</v>
      </c>
      <c r="C365" s="7" t="s">
        <v>648</v>
      </c>
      <c r="D365" s="8">
        <v>43003</v>
      </c>
      <c r="E365" s="8">
        <v>43009</v>
      </c>
      <c r="F365" s="7" t="s">
        <v>649</v>
      </c>
      <c r="G365" s="7" t="s">
        <v>647</v>
      </c>
      <c r="H365" s="7">
        <v>20.7</v>
      </c>
      <c r="I365" s="9">
        <f t="shared" si="11"/>
        <v>9</v>
      </c>
      <c r="J365">
        <f t="shared" si="12"/>
        <v>6</v>
      </c>
    </row>
    <row r="366" spans="2:10" ht="14.3" customHeight="1">
      <c r="B366" s="6">
        <v>363</v>
      </c>
      <c r="C366" s="7" t="s">
        <v>648</v>
      </c>
      <c r="D366" s="8">
        <v>43003</v>
      </c>
      <c r="E366" s="8">
        <v>43009</v>
      </c>
      <c r="F366" s="7" t="s">
        <v>649</v>
      </c>
      <c r="G366" s="7" t="s">
        <v>650</v>
      </c>
      <c r="H366" s="7">
        <v>488.64600000000002</v>
      </c>
      <c r="I366" s="9">
        <f t="shared" si="11"/>
        <v>9</v>
      </c>
      <c r="J366">
        <f t="shared" si="12"/>
        <v>6</v>
      </c>
    </row>
    <row r="367" spans="2:10" ht="14.3" customHeight="1">
      <c r="B367" s="6">
        <v>364</v>
      </c>
      <c r="C367" s="7" t="s">
        <v>648</v>
      </c>
      <c r="D367" s="8">
        <v>43003</v>
      </c>
      <c r="E367" s="8">
        <v>43009</v>
      </c>
      <c r="F367" s="7" t="s">
        <v>649</v>
      </c>
      <c r="G367" s="7" t="s">
        <v>651</v>
      </c>
      <c r="H367" s="7">
        <v>5.56</v>
      </c>
      <c r="I367" s="9">
        <f t="shared" si="11"/>
        <v>9</v>
      </c>
      <c r="J367">
        <f t="shared" si="12"/>
        <v>6</v>
      </c>
    </row>
    <row r="368" spans="2:10" ht="14.3" customHeight="1">
      <c r="B368" s="6">
        <v>365</v>
      </c>
      <c r="C368" s="7" t="s">
        <v>648</v>
      </c>
      <c r="D368" s="8">
        <v>43003</v>
      </c>
      <c r="E368" s="8">
        <v>43009</v>
      </c>
      <c r="F368" s="7" t="s">
        <v>649</v>
      </c>
      <c r="G368" s="7" t="s">
        <v>652</v>
      </c>
      <c r="H368" s="7">
        <v>47.12</v>
      </c>
      <c r="I368" s="9">
        <f t="shared" si="11"/>
        <v>9</v>
      </c>
      <c r="J368">
        <f t="shared" si="12"/>
        <v>6</v>
      </c>
    </row>
    <row r="369" spans="2:10" ht="14.3" customHeight="1">
      <c r="B369" s="6">
        <v>366</v>
      </c>
      <c r="C369" s="7" t="s">
        <v>653</v>
      </c>
      <c r="D369" s="8">
        <v>41906</v>
      </c>
      <c r="E369" s="8">
        <v>41911</v>
      </c>
      <c r="F369" s="7" t="s">
        <v>654</v>
      </c>
      <c r="G369" s="7" t="s">
        <v>106</v>
      </c>
      <c r="H369" s="7">
        <v>211.96</v>
      </c>
      <c r="I369" s="9">
        <f t="shared" si="11"/>
        <v>9</v>
      </c>
      <c r="J369">
        <f t="shared" si="12"/>
        <v>5</v>
      </c>
    </row>
    <row r="370" spans="2:10" ht="14.3" customHeight="1">
      <c r="B370" s="6">
        <v>367</v>
      </c>
      <c r="C370" s="7" t="s">
        <v>655</v>
      </c>
      <c r="D370" s="8">
        <v>42664</v>
      </c>
      <c r="E370" s="8">
        <v>42664</v>
      </c>
      <c r="F370" s="7" t="s">
        <v>656</v>
      </c>
      <c r="G370" s="7" t="s">
        <v>657</v>
      </c>
      <c r="H370" s="7">
        <v>23.2</v>
      </c>
      <c r="I370" s="9">
        <f t="shared" si="11"/>
        <v>10</v>
      </c>
      <c r="J370">
        <f t="shared" si="12"/>
        <v>0</v>
      </c>
    </row>
    <row r="371" spans="2:10" ht="14.3" customHeight="1">
      <c r="B371" s="6">
        <v>368</v>
      </c>
      <c r="C371" s="7" t="s">
        <v>655</v>
      </c>
      <c r="D371" s="8">
        <v>42664</v>
      </c>
      <c r="E371" s="8">
        <v>42664</v>
      </c>
      <c r="F371" s="7" t="s">
        <v>656</v>
      </c>
      <c r="G371" s="7" t="s">
        <v>658</v>
      </c>
      <c r="H371" s="7">
        <v>7.36</v>
      </c>
      <c r="I371" s="9">
        <f t="shared" si="11"/>
        <v>10</v>
      </c>
      <c r="J371">
        <f t="shared" si="12"/>
        <v>0</v>
      </c>
    </row>
    <row r="372" spans="2:10" ht="14.3" customHeight="1">
      <c r="B372" s="6">
        <v>369</v>
      </c>
      <c r="C372" s="7" t="s">
        <v>655</v>
      </c>
      <c r="D372" s="8">
        <v>42664</v>
      </c>
      <c r="E372" s="8">
        <v>42664</v>
      </c>
      <c r="F372" s="7" t="s">
        <v>656</v>
      </c>
      <c r="G372" s="7" t="s">
        <v>659</v>
      </c>
      <c r="H372" s="7">
        <v>104.79</v>
      </c>
      <c r="I372" s="9">
        <f t="shared" si="11"/>
        <v>10</v>
      </c>
      <c r="J372">
        <f t="shared" si="12"/>
        <v>0</v>
      </c>
    </row>
    <row r="373" spans="2:10" ht="14.3" customHeight="1">
      <c r="B373" s="6">
        <v>370</v>
      </c>
      <c r="C373" s="7" t="s">
        <v>655</v>
      </c>
      <c r="D373" s="8">
        <v>42664</v>
      </c>
      <c r="E373" s="8">
        <v>42664</v>
      </c>
      <c r="F373" s="7" t="s">
        <v>656</v>
      </c>
      <c r="G373" s="7" t="s">
        <v>88</v>
      </c>
      <c r="H373" s="7">
        <v>1043.92</v>
      </c>
      <c r="I373" s="9">
        <f t="shared" si="11"/>
        <v>10</v>
      </c>
      <c r="J373">
        <f t="shared" si="12"/>
        <v>0</v>
      </c>
    </row>
    <row r="374" spans="2:10" ht="14.3" customHeight="1">
      <c r="B374" s="6">
        <v>371</v>
      </c>
      <c r="C374" s="7" t="s">
        <v>660</v>
      </c>
      <c r="D374" s="8">
        <v>42884</v>
      </c>
      <c r="E374" s="8">
        <v>42890</v>
      </c>
      <c r="F374" s="7" t="s">
        <v>661</v>
      </c>
      <c r="G374" s="7" t="s">
        <v>662</v>
      </c>
      <c r="H374" s="7">
        <v>25.920000000000005</v>
      </c>
      <c r="I374" s="9">
        <f t="shared" si="11"/>
        <v>5</v>
      </c>
      <c r="J374">
        <f t="shared" si="12"/>
        <v>6</v>
      </c>
    </row>
    <row r="375" spans="2:10" ht="14.3" customHeight="1">
      <c r="B375" s="6">
        <v>372</v>
      </c>
      <c r="C375" s="7" t="s">
        <v>660</v>
      </c>
      <c r="D375" s="8">
        <v>42884</v>
      </c>
      <c r="E375" s="8">
        <v>42890</v>
      </c>
      <c r="F375" s="7" t="s">
        <v>661</v>
      </c>
      <c r="G375" s="7" t="s">
        <v>663</v>
      </c>
      <c r="H375" s="7">
        <v>53.424000000000007</v>
      </c>
      <c r="I375" s="9">
        <f t="shared" si="11"/>
        <v>5</v>
      </c>
      <c r="J375">
        <f t="shared" si="12"/>
        <v>6</v>
      </c>
    </row>
    <row r="376" spans="2:10" ht="14.3" customHeight="1">
      <c r="B376" s="6">
        <v>373</v>
      </c>
      <c r="C376" s="7" t="s">
        <v>664</v>
      </c>
      <c r="D376" s="8">
        <v>41843</v>
      </c>
      <c r="E376" s="8">
        <v>41847</v>
      </c>
      <c r="F376" s="7" t="s">
        <v>665</v>
      </c>
      <c r="G376" s="7" t="s">
        <v>611</v>
      </c>
      <c r="H376" s="7">
        <v>8.1600000000000019</v>
      </c>
      <c r="I376" s="9">
        <f t="shared" si="11"/>
        <v>7</v>
      </c>
      <c r="J376">
        <f t="shared" si="12"/>
        <v>4</v>
      </c>
    </row>
    <row r="377" spans="2:10" ht="14.3" customHeight="1">
      <c r="B377" s="6">
        <v>374</v>
      </c>
      <c r="C377" s="7" t="s">
        <v>664</v>
      </c>
      <c r="D377" s="8">
        <v>41843</v>
      </c>
      <c r="E377" s="8">
        <v>41847</v>
      </c>
      <c r="F377" s="7" t="s">
        <v>665</v>
      </c>
      <c r="G377" s="7" t="s">
        <v>666</v>
      </c>
      <c r="H377" s="7">
        <v>1023.9360000000001</v>
      </c>
      <c r="I377" s="9">
        <f t="shared" si="11"/>
        <v>7</v>
      </c>
      <c r="J377">
        <f t="shared" si="12"/>
        <v>4</v>
      </c>
    </row>
    <row r="378" spans="2:10" ht="14.3" customHeight="1">
      <c r="B378" s="6">
        <v>375</v>
      </c>
      <c r="C378" s="7" t="s">
        <v>664</v>
      </c>
      <c r="D378" s="8">
        <v>41843</v>
      </c>
      <c r="E378" s="8">
        <v>41847</v>
      </c>
      <c r="F378" s="7" t="s">
        <v>665</v>
      </c>
      <c r="G378" s="7" t="s">
        <v>667</v>
      </c>
      <c r="H378" s="7">
        <v>9.24</v>
      </c>
      <c r="I378" s="9">
        <f t="shared" si="11"/>
        <v>7</v>
      </c>
      <c r="J378">
        <f t="shared" si="12"/>
        <v>4</v>
      </c>
    </row>
    <row r="379" spans="2:10" ht="14.3" customHeight="1">
      <c r="B379" s="6">
        <v>376</v>
      </c>
      <c r="C379" s="7" t="s">
        <v>664</v>
      </c>
      <c r="D379" s="8">
        <v>41843</v>
      </c>
      <c r="E379" s="8">
        <v>41847</v>
      </c>
      <c r="F379" s="7" t="s">
        <v>665</v>
      </c>
      <c r="G379" s="7" t="s">
        <v>668</v>
      </c>
      <c r="H379" s="7">
        <v>479.04</v>
      </c>
      <c r="I379" s="9">
        <f t="shared" si="11"/>
        <v>7</v>
      </c>
      <c r="J379">
        <f t="shared" si="12"/>
        <v>4</v>
      </c>
    </row>
    <row r="380" spans="2:10" ht="14.3" customHeight="1">
      <c r="B380" s="6">
        <v>377</v>
      </c>
      <c r="C380" s="7" t="s">
        <v>669</v>
      </c>
      <c r="D380" s="8">
        <v>42641</v>
      </c>
      <c r="E380" s="8">
        <v>42644</v>
      </c>
      <c r="F380" s="7" t="s">
        <v>670</v>
      </c>
      <c r="G380" s="7" t="s">
        <v>671</v>
      </c>
      <c r="H380" s="7">
        <v>99.13600000000001</v>
      </c>
      <c r="I380" s="9">
        <f t="shared" si="11"/>
        <v>9</v>
      </c>
      <c r="J380">
        <f t="shared" si="12"/>
        <v>3</v>
      </c>
    </row>
    <row r="381" spans="2:10" ht="14.3" customHeight="1">
      <c r="B381" s="6">
        <v>378</v>
      </c>
      <c r="C381" s="7" t="s">
        <v>672</v>
      </c>
      <c r="D381" s="8">
        <v>42974</v>
      </c>
      <c r="E381" s="8">
        <v>42979</v>
      </c>
      <c r="F381" s="7" t="s">
        <v>673</v>
      </c>
      <c r="G381" s="7" t="s">
        <v>674</v>
      </c>
      <c r="H381" s="7">
        <v>1488.4239999999998</v>
      </c>
      <c r="I381" s="9">
        <f t="shared" si="11"/>
        <v>8</v>
      </c>
      <c r="J381">
        <f t="shared" si="12"/>
        <v>5</v>
      </c>
    </row>
    <row r="382" spans="2:10" ht="14.3" customHeight="1">
      <c r="B382" s="6">
        <v>379</v>
      </c>
      <c r="C382" s="7" t="s">
        <v>675</v>
      </c>
      <c r="D382" s="8">
        <v>42122</v>
      </c>
      <c r="E382" s="8">
        <v>42129</v>
      </c>
      <c r="F382" s="7" t="s">
        <v>676</v>
      </c>
      <c r="G382" s="7" t="s">
        <v>677</v>
      </c>
      <c r="H382" s="7">
        <v>8.6519999999999975</v>
      </c>
      <c r="I382" s="9">
        <f t="shared" si="11"/>
        <v>4</v>
      </c>
      <c r="J382">
        <f t="shared" si="12"/>
        <v>7</v>
      </c>
    </row>
    <row r="383" spans="2:10" ht="14.3" customHeight="1">
      <c r="B383" s="6">
        <v>380</v>
      </c>
      <c r="C383" s="7" t="s">
        <v>675</v>
      </c>
      <c r="D383" s="8">
        <v>42122</v>
      </c>
      <c r="E383" s="8">
        <v>42129</v>
      </c>
      <c r="F383" s="7" t="s">
        <v>676</v>
      </c>
      <c r="G383" s="7" t="s">
        <v>678</v>
      </c>
      <c r="H383" s="7">
        <v>23.832000000000001</v>
      </c>
      <c r="I383" s="9">
        <f t="shared" si="11"/>
        <v>4</v>
      </c>
      <c r="J383">
        <f t="shared" si="12"/>
        <v>7</v>
      </c>
    </row>
    <row r="384" spans="2:10" ht="14.3" customHeight="1">
      <c r="B384" s="6">
        <v>381</v>
      </c>
      <c r="C384" s="7" t="s">
        <v>675</v>
      </c>
      <c r="D384" s="8">
        <v>42122</v>
      </c>
      <c r="E384" s="8">
        <v>42129</v>
      </c>
      <c r="F384" s="7" t="s">
        <v>676</v>
      </c>
      <c r="G384" s="7" t="s">
        <v>679</v>
      </c>
      <c r="H384" s="7">
        <v>12.175999999999998</v>
      </c>
      <c r="I384" s="9">
        <f t="shared" si="11"/>
        <v>4</v>
      </c>
      <c r="J384">
        <f t="shared" si="12"/>
        <v>7</v>
      </c>
    </row>
    <row r="385" spans="2:10" ht="14.3" customHeight="1">
      <c r="B385" s="6">
        <v>382</v>
      </c>
      <c r="C385" s="7" t="s">
        <v>680</v>
      </c>
      <c r="D385" s="8">
        <v>42671</v>
      </c>
      <c r="E385" s="8">
        <v>42672</v>
      </c>
      <c r="F385" s="7" t="s">
        <v>681</v>
      </c>
      <c r="G385" s="7" t="s">
        <v>682</v>
      </c>
      <c r="H385" s="7">
        <v>50.96</v>
      </c>
      <c r="I385" s="9">
        <f t="shared" si="11"/>
        <v>10</v>
      </c>
      <c r="J385">
        <f t="shared" si="12"/>
        <v>1</v>
      </c>
    </row>
    <row r="386" spans="2:10" ht="14.3" customHeight="1">
      <c r="B386" s="6">
        <v>383</v>
      </c>
      <c r="C386" s="7" t="s">
        <v>680</v>
      </c>
      <c r="D386" s="8">
        <v>42671</v>
      </c>
      <c r="E386" s="8">
        <v>42672</v>
      </c>
      <c r="F386" s="7" t="s">
        <v>681</v>
      </c>
      <c r="G386" s="7" t="s">
        <v>683</v>
      </c>
      <c r="H386" s="7">
        <v>49.536000000000001</v>
      </c>
      <c r="I386" s="9">
        <f t="shared" si="11"/>
        <v>10</v>
      </c>
      <c r="J386">
        <f t="shared" si="12"/>
        <v>1</v>
      </c>
    </row>
    <row r="387" spans="2:10" ht="14.3" customHeight="1">
      <c r="B387" s="6">
        <v>384</v>
      </c>
      <c r="C387" s="7" t="s">
        <v>684</v>
      </c>
      <c r="D387" s="8">
        <v>42181</v>
      </c>
      <c r="E387" s="8">
        <v>42184</v>
      </c>
      <c r="F387" s="7" t="s">
        <v>685</v>
      </c>
      <c r="G387" s="7" t="s">
        <v>686</v>
      </c>
      <c r="H387" s="7">
        <v>41.9</v>
      </c>
      <c r="I387" s="9">
        <f t="shared" si="11"/>
        <v>6</v>
      </c>
      <c r="J387">
        <f t="shared" si="12"/>
        <v>3</v>
      </c>
    </row>
    <row r="388" spans="2:10" ht="14.3" customHeight="1">
      <c r="B388" s="6">
        <v>385</v>
      </c>
      <c r="C388" s="7" t="s">
        <v>687</v>
      </c>
      <c r="D388" s="8">
        <v>42335</v>
      </c>
      <c r="E388" s="8">
        <v>42340</v>
      </c>
      <c r="F388" s="7" t="s">
        <v>688</v>
      </c>
      <c r="G388" s="7" t="s">
        <v>689</v>
      </c>
      <c r="H388" s="7">
        <v>375.45750000000004</v>
      </c>
      <c r="I388" s="9">
        <f t="shared" si="11"/>
        <v>11</v>
      </c>
      <c r="J388">
        <f t="shared" si="12"/>
        <v>5</v>
      </c>
    </row>
    <row r="389" spans="2:10" ht="14.3" customHeight="1">
      <c r="B389" s="6">
        <v>386</v>
      </c>
      <c r="C389" s="7" t="s">
        <v>687</v>
      </c>
      <c r="D389" s="8">
        <v>42335</v>
      </c>
      <c r="E389" s="8">
        <v>42340</v>
      </c>
      <c r="F389" s="7" t="s">
        <v>688</v>
      </c>
      <c r="G389" s="7" t="s">
        <v>690</v>
      </c>
      <c r="H389" s="7">
        <v>83.976000000000013</v>
      </c>
      <c r="I389" s="9">
        <f t="shared" ref="I389:I452" si="13">MONTH(D389)</f>
        <v>11</v>
      </c>
      <c r="J389">
        <f t="shared" ref="J389:J452" si="14">DATEDIF(D389,E389,"D")</f>
        <v>5</v>
      </c>
    </row>
    <row r="390" spans="2:10" ht="14.3" customHeight="1">
      <c r="B390" s="6">
        <v>387</v>
      </c>
      <c r="C390" s="7" t="s">
        <v>691</v>
      </c>
      <c r="D390" s="8">
        <v>42341</v>
      </c>
      <c r="E390" s="8">
        <v>42345</v>
      </c>
      <c r="F390" s="7" t="s">
        <v>692</v>
      </c>
      <c r="G390" s="7" t="s">
        <v>693</v>
      </c>
      <c r="H390" s="7">
        <v>482.34000000000003</v>
      </c>
      <c r="I390" s="9">
        <f t="shared" si="13"/>
        <v>12</v>
      </c>
      <c r="J390">
        <f t="shared" si="14"/>
        <v>4</v>
      </c>
    </row>
    <row r="391" spans="2:10" ht="14.3" customHeight="1">
      <c r="B391" s="6">
        <v>388</v>
      </c>
      <c r="C391" s="7" t="s">
        <v>691</v>
      </c>
      <c r="D391" s="8">
        <v>42341</v>
      </c>
      <c r="E391" s="8">
        <v>42345</v>
      </c>
      <c r="F391" s="7" t="s">
        <v>692</v>
      </c>
      <c r="G391" s="7" t="s">
        <v>694</v>
      </c>
      <c r="H391" s="7">
        <v>2.9600000000000004</v>
      </c>
      <c r="I391" s="9">
        <f t="shared" si="13"/>
        <v>12</v>
      </c>
      <c r="J391">
        <f t="shared" si="14"/>
        <v>4</v>
      </c>
    </row>
    <row r="392" spans="2:10" ht="14.3" customHeight="1">
      <c r="B392" s="6">
        <v>389</v>
      </c>
      <c r="C392" s="7" t="s">
        <v>695</v>
      </c>
      <c r="D392" s="8">
        <v>41967</v>
      </c>
      <c r="E392" s="8">
        <v>41969</v>
      </c>
      <c r="F392" s="7" t="s">
        <v>696</v>
      </c>
      <c r="G392" s="7" t="s">
        <v>697</v>
      </c>
      <c r="H392" s="7">
        <v>2.6240000000000001</v>
      </c>
      <c r="I392" s="9">
        <f t="shared" si="13"/>
        <v>11</v>
      </c>
      <c r="J392">
        <f t="shared" si="14"/>
        <v>2</v>
      </c>
    </row>
    <row r="393" spans="2:10" ht="14.3" customHeight="1">
      <c r="B393" s="6">
        <v>390</v>
      </c>
      <c r="C393" s="7" t="s">
        <v>698</v>
      </c>
      <c r="D393" s="8">
        <v>43080</v>
      </c>
      <c r="E393" s="8">
        <v>43084</v>
      </c>
      <c r="F393" s="7" t="s">
        <v>699</v>
      </c>
      <c r="G393" s="7" t="s">
        <v>700</v>
      </c>
      <c r="H393" s="7">
        <v>23.36</v>
      </c>
      <c r="I393" s="9">
        <f t="shared" si="13"/>
        <v>12</v>
      </c>
      <c r="J393">
        <f t="shared" si="14"/>
        <v>4</v>
      </c>
    </row>
    <row r="394" spans="2:10" ht="14.3" customHeight="1">
      <c r="B394" s="6">
        <v>391</v>
      </c>
      <c r="C394" s="7" t="s">
        <v>698</v>
      </c>
      <c r="D394" s="8">
        <v>43080</v>
      </c>
      <c r="E394" s="8">
        <v>43084</v>
      </c>
      <c r="F394" s="7" t="s">
        <v>699</v>
      </c>
      <c r="G394" s="7" t="s">
        <v>180</v>
      </c>
      <c r="H394" s="7">
        <v>39.979999999999997</v>
      </c>
      <c r="I394" s="9">
        <f t="shared" si="13"/>
        <v>12</v>
      </c>
      <c r="J394">
        <f t="shared" si="14"/>
        <v>4</v>
      </c>
    </row>
    <row r="395" spans="2:10" ht="14.3" customHeight="1">
      <c r="B395" s="6">
        <v>392</v>
      </c>
      <c r="C395" s="7" t="s">
        <v>701</v>
      </c>
      <c r="D395" s="8">
        <v>41903</v>
      </c>
      <c r="E395" s="8">
        <v>41905</v>
      </c>
      <c r="F395" s="7" t="s">
        <v>702</v>
      </c>
      <c r="G395" s="7" t="s">
        <v>703</v>
      </c>
      <c r="H395" s="7">
        <v>246.38400000000001</v>
      </c>
      <c r="I395" s="9">
        <f t="shared" si="13"/>
        <v>9</v>
      </c>
      <c r="J395">
        <f t="shared" si="14"/>
        <v>2</v>
      </c>
    </row>
    <row r="396" spans="2:10" ht="14.3" customHeight="1">
      <c r="B396" s="6">
        <v>393</v>
      </c>
      <c r="C396" s="7" t="s">
        <v>701</v>
      </c>
      <c r="D396" s="8">
        <v>41903</v>
      </c>
      <c r="E396" s="8">
        <v>41905</v>
      </c>
      <c r="F396" s="7" t="s">
        <v>702</v>
      </c>
      <c r="G396" s="7" t="s">
        <v>704</v>
      </c>
      <c r="H396" s="7">
        <v>1799.97</v>
      </c>
      <c r="I396" s="9">
        <f t="shared" si="13"/>
        <v>9</v>
      </c>
      <c r="J396">
        <f t="shared" si="14"/>
        <v>2</v>
      </c>
    </row>
    <row r="397" spans="2:10" ht="14.3" customHeight="1">
      <c r="B397" s="6">
        <v>394</v>
      </c>
      <c r="C397" s="7" t="s">
        <v>705</v>
      </c>
      <c r="D397" s="8">
        <v>41797</v>
      </c>
      <c r="E397" s="8">
        <v>41800</v>
      </c>
      <c r="F397" s="7" t="s">
        <v>706</v>
      </c>
      <c r="G397" s="7" t="s">
        <v>707</v>
      </c>
      <c r="H397" s="7">
        <v>12.461999999999996</v>
      </c>
      <c r="I397" s="9">
        <f t="shared" si="13"/>
        <v>6</v>
      </c>
      <c r="J397">
        <f t="shared" si="14"/>
        <v>3</v>
      </c>
    </row>
    <row r="398" spans="2:10" ht="14.3" customHeight="1">
      <c r="B398" s="6">
        <v>395</v>
      </c>
      <c r="C398" s="7" t="s">
        <v>708</v>
      </c>
      <c r="D398" s="8">
        <v>42916</v>
      </c>
      <c r="E398" s="8">
        <v>42921</v>
      </c>
      <c r="F398" s="7" t="s">
        <v>709</v>
      </c>
      <c r="G398" s="7" t="s">
        <v>710</v>
      </c>
      <c r="H398" s="7">
        <v>75.792000000000002</v>
      </c>
      <c r="I398" s="9">
        <f t="shared" si="13"/>
        <v>6</v>
      </c>
      <c r="J398">
        <f t="shared" si="14"/>
        <v>5</v>
      </c>
    </row>
    <row r="399" spans="2:10" ht="14.3" customHeight="1">
      <c r="B399" s="6">
        <v>396</v>
      </c>
      <c r="C399" s="7" t="s">
        <v>711</v>
      </c>
      <c r="D399" s="8">
        <v>43025</v>
      </c>
      <c r="E399" s="8">
        <v>43027</v>
      </c>
      <c r="F399" s="7" t="s">
        <v>712</v>
      </c>
      <c r="G399" s="7" t="s">
        <v>713</v>
      </c>
      <c r="H399" s="7">
        <v>49.96</v>
      </c>
      <c r="I399" s="9">
        <f t="shared" si="13"/>
        <v>10</v>
      </c>
      <c r="J399">
        <f t="shared" si="14"/>
        <v>2</v>
      </c>
    </row>
    <row r="400" spans="2:10" ht="14.3" customHeight="1">
      <c r="B400" s="6">
        <v>397</v>
      </c>
      <c r="C400" s="7" t="s">
        <v>711</v>
      </c>
      <c r="D400" s="8">
        <v>43025</v>
      </c>
      <c r="E400" s="8">
        <v>43027</v>
      </c>
      <c r="F400" s="7" t="s">
        <v>712</v>
      </c>
      <c r="G400" s="7" t="s">
        <v>714</v>
      </c>
      <c r="H400" s="7">
        <v>12.96</v>
      </c>
      <c r="I400" s="9">
        <f t="shared" si="13"/>
        <v>10</v>
      </c>
      <c r="J400">
        <f t="shared" si="14"/>
        <v>2</v>
      </c>
    </row>
    <row r="401" spans="2:10" ht="14.3" customHeight="1">
      <c r="B401" s="6">
        <v>398</v>
      </c>
      <c r="C401" s="7" t="s">
        <v>715</v>
      </c>
      <c r="D401" s="8">
        <v>42308</v>
      </c>
      <c r="E401" s="8">
        <v>42312</v>
      </c>
      <c r="F401" s="7" t="s">
        <v>42</v>
      </c>
      <c r="G401" s="7" t="s">
        <v>716</v>
      </c>
      <c r="H401" s="7">
        <v>70.12</v>
      </c>
      <c r="I401" s="9">
        <f t="shared" si="13"/>
        <v>10</v>
      </c>
      <c r="J401">
        <f t="shared" si="14"/>
        <v>4</v>
      </c>
    </row>
    <row r="402" spans="2:10" ht="14.3" customHeight="1">
      <c r="B402" s="6">
        <v>399</v>
      </c>
      <c r="C402" s="7" t="s">
        <v>717</v>
      </c>
      <c r="D402" s="8">
        <v>42621</v>
      </c>
      <c r="E402" s="8">
        <v>42623</v>
      </c>
      <c r="F402" s="7" t="s">
        <v>718</v>
      </c>
      <c r="G402" s="7" t="s">
        <v>719</v>
      </c>
      <c r="H402" s="7">
        <v>35.952000000000005</v>
      </c>
      <c r="I402" s="9">
        <f t="shared" si="13"/>
        <v>9</v>
      </c>
      <c r="J402">
        <f t="shared" si="14"/>
        <v>2</v>
      </c>
    </row>
    <row r="403" spans="2:10" ht="14.3" customHeight="1">
      <c r="B403" s="6">
        <v>400</v>
      </c>
      <c r="C403" s="7" t="s">
        <v>717</v>
      </c>
      <c r="D403" s="8">
        <v>42621</v>
      </c>
      <c r="E403" s="8">
        <v>42623</v>
      </c>
      <c r="F403" s="7" t="s">
        <v>718</v>
      </c>
      <c r="G403" s="7" t="s">
        <v>71</v>
      </c>
      <c r="H403" s="7">
        <v>2396.2655999999997</v>
      </c>
      <c r="I403" s="9">
        <f t="shared" si="13"/>
        <v>9</v>
      </c>
      <c r="J403">
        <f t="shared" si="14"/>
        <v>2</v>
      </c>
    </row>
    <row r="404" spans="2:10" ht="14.3" customHeight="1">
      <c r="B404" s="6">
        <v>401</v>
      </c>
      <c r="C404" s="7" t="s">
        <v>717</v>
      </c>
      <c r="D404" s="8">
        <v>42621</v>
      </c>
      <c r="E404" s="8">
        <v>42623</v>
      </c>
      <c r="F404" s="7" t="s">
        <v>718</v>
      </c>
      <c r="G404" s="7" t="s">
        <v>720</v>
      </c>
      <c r="H404" s="7">
        <v>131.136</v>
      </c>
      <c r="I404" s="9">
        <f t="shared" si="13"/>
        <v>9</v>
      </c>
      <c r="J404">
        <f t="shared" si="14"/>
        <v>2</v>
      </c>
    </row>
    <row r="405" spans="2:10" ht="14.3" customHeight="1">
      <c r="B405" s="6">
        <v>402</v>
      </c>
      <c r="C405" s="7" t="s">
        <v>717</v>
      </c>
      <c r="D405" s="8">
        <v>42621</v>
      </c>
      <c r="E405" s="8">
        <v>42623</v>
      </c>
      <c r="F405" s="7" t="s">
        <v>718</v>
      </c>
      <c r="G405" s="7" t="s">
        <v>721</v>
      </c>
      <c r="H405" s="7">
        <v>57.584000000000003</v>
      </c>
      <c r="I405" s="9">
        <f t="shared" si="13"/>
        <v>9</v>
      </c>
      <c r="J405">
        <f t="shared" si="14"/>
        <v>2</v>
      </c>
    </row>
    <row r="406" spans="2:10" ht="14.3" customHeight="1">
      <c r="B406" s="6">
        <v>403</v>
      </c>
      <c r="C406" s="7" t="s">
        <v>722</v>
      </c>
      <c r="D406" s="8">
        <v>41997</v>
      </c>
      <c r="E406" s="8">
        <v>41999</v>
      </c>
      <c r="F406" s="7" t="s">
        <v>723</v>
      </c>
      <c r="G406" s="7" t="s">
        <v>724</v>
      </c>
      <c r="H406" s="7">
        <v>9.5680000000000014</v>
      </c>
      <c r="I406" s="9">
        <f t="shared" si="13"/>
        <v>12</v>
      </c>
      <c r="J406">
        <f t="shared" si="14"/>
        <v>2</v>
      </c>
    </row>
    <row r="407" spans="2:10" ht="14.3" customHeight="1">
      <c r="B407" s="6">
        <v>404</v>
      </c>
      <c r="C407" s="7" t="s">
        <v>725</v>
      </c>
      <c r="D407" s="8">
        <v>41745</v>
      </c>
      <c r="E407" s="8">
        <v>41749</v>
      </c>
      <c r="F407" s="7" t="s">
        <v>303</v>
      </c>
      <c r="G407" s="7" t="s">
        <v>726</v>
      </c>
      <c r="H407" s="7">
        <v>39.072000000000003</v>
      </c>
      <c r="I407" s="9">
        <f t="shared" si="13"/>
        <v>4</v>
      </c>
      <c r="J407">
        <f t="shared" si="14"/>
        <v>4</v>
      </c>
    </row>
    <row r="408" spans="2:10" ht="14.3" customHeight="1">
      <c r="B408" s="6">
        <v>405</v>
      </c>
      <c r="C408" s="7" t="s">
        <v>727</v>
      </c>
      <c r="D408" s="8">
        <v>43093</v>
      </c>
      <c r="E408" s="8">
        <v>43098</v>
      </c>
      <c r="F408" s="7" t="s">
        <v>728</v>
      </c>
      <c r="G408" s="7" t="s">
        <v>729</v>
      </c>
      <c r="H408" s="7">
        <v>35.910000000000004</v>
      </c>
      <c r="I408" s="9">
        <f t="shared" si="13"/>
        <v>12</v>
      </c>
      <c r="J408">
        <f t="shared" si="14"/>
        <v>5</v>
      </c>
    </row>
    <row r="409" spans="2:10" ht="14.3" customHeight="1">
      <c r="B409" s="6">
        <v>406</v>
      </c>
      <c r="C409" s="7" t="s">
        <v>730</v>
      </c>
      <c r="D409" s="8">
        <v>43077</v>
      </c>
      <c r="E409" s="8">
        <v>43081</v>
      </c>
      <c r="F409" s="7" t="s">
        <v>731</v>
      </c>
      <c r="G409" s="7" t="s">
        <v>721</v>
      </c>
      <c r="H409" s="7">
        <v>179.95000000000002</v>
      </c>
      <c r="I409" s="9">
        <f t="shared" si="13"/>
        <v>12</v>
      </c>
      <c r="J409">
        <f t="shared" si="14"/>
        <v>4</v>
      </c>
    </row>
    <row r="410" spans="2:10" ht="14.3" customHeight="1">
      <c r="B410" s="6">
        <v>407</v>
      </c>
      <c r="C410" s="7" t="s">
        <v>730</v>
      </c>
      <c r="D410" s="8">
        <v>43077</v>
      </c>
      <c r="E410" s="8">
        <v>43081</v>
      </c>
      <c r="F410" s="7" t="s">
        <v>731</v>
      </c>
      <c r="G410" s="7" t="s">
        <v>732</v>
      </c>
      <c r="H410" s="7">
        <v>1199.9760000000001</v>
      </c>
      <c r="I410" s="9">
        <f t="shared" si="13"/>
        <v>12</v>
      </c>
      <c r="J410">
        <f t="shared" si="14"/>
        <v>4</v>
      </c>
    </row>
    <row r="411" spans="2:10" ht="14.3" customHeight="1">
      <c r="B411" s="6">
        <v>408</v>
      </c>
      <c r="C411" s="7" t="s">
        <v>730</v>
      </c>
      <c r="D411" s="8">
        <v>43077</v>
      </c>
      <c r="E411" s="8">
        <v>43081</v>
      </c>
      <c r="F411" s="7" t="s">
        <v>731</v>
      </c>
      <c r="G411" s="7" t="s">
        <v>733</v>
      </c>
      <c r="H411" s="7">
        <v>27.15</v>
      </c>
      <c r="I411" s="9">
        <f t="shared" si="13"/>
        <v>12</v>
      </c>
      <c r="J411">
        <f t="shared" si="14"/>
        <v>4</v>
      </c>
    </row>
    <row r="412" spans="2:10" ht="14.3" customHeight="1">
      <c r="B412" s="6">
        <v>409</v>
      </c>
      <c r="C412" s="7" t="s">
        <v>730</v>
      </c>
      <c r="D412" s="8">
        <v>43077</v>
      </c>
      <c r="E412" s="8">
        <v>43081</v>
      </c>
      <c r="F412" s="7" t="s">
        <v>731</v>
      </c>
      <c r="G412" s="7" t="s">
        <v>734</v>
      </c>
      <c r="H412" s="7">
        <v>1004.0239999999999</v>
      </c>
      <c r="I412" s="9">
        <f t="shared" si="13"/>
        <v>12</v>
      </c>
      <c r="J412">
        <f t="shared" si="14"/>
        <v>4</v>
      </c>
    </row>
    <row r="413" spans="2:10" ht="14.3" customHeight="1">
      <c r="B413" s="6">
        <v>410</v>
      </c>
      <c r="C413" s="7" t="s">
        <v>730</v>
      </c>
      <c r="D413" s="8">
        <v>43077</v>
      </c>
      <c r="E413" s="8">
        <v>43081</v>
      </c>
      <c r="F413" s="7" t="s">
        <v>731</v>
      </c>
      <c r="G413" s="7" t="s">
        <v>735</v>
      </c>
      <c r="H413" s="7">
        <v>9.68</v>
      </c>
      <c r="I413" s="9">
        <f t="shared" si="13"/>
        <v>12</v>
      </c>
      <c r="J413">
        <f t="shared" si="14"/>
        <v>4</v>
      </c>
    </row>
    <row r="414" spans="2:10" ht="14.3" customHeight="1">
      <c r="B414" s="6">
        <v>411</v>
      </c>
      <c r="C414" s="7" t="s">
        <v>730</v>
      </c>
      <c r="D414" s="8">
        <v>43077</v>
      </c>
      <c r="E414" s="8">
        <v>43081</v>
      </c>
      <c r="F414" s="7" t="s">
        <v>731</v>
      </c>
      <c r="G414" s="7" t="s">
        <v>736</v>
      </c>
      <c r="H414" s="7">
        <v>28.349999999999998</v>
      </c>
      <c r="I414" s="9">
        <f t="shared" si="13"/>
        <v>12</v>
      </c>
      <c r="J414">
        <f t="shared" si="14"/>
        <v>4</v>
      </c>
    </row>
    <row r="415" spans="2:10" ht="14.3" customHeight="1">
      <c r="B415" s="6">
        <v>412</v>
      </c>
      <c r="C415" s="7" t="s">
        <v>730</v>
      </c>
      <c r="D415" s="8">
        <v>43077</v>
      </c>
      <c r="E415" s="8">
        <v>43081</v>
      </c>
      <c r="F415" s="7" t="s">
        <v>731</v>
      </c>
      <c r="G415" s="7" t="s">
        <v>634</v>
      </c>
      <c r="H415" s="7">
        <v>55.98</v>
      </c>
      <c r="I415" s="9">
        <f t="shared" si="13"/>
        <v>12</v>
      </c>
      <c r="J415">
        <f t="shared" si="14"/>
        <v>4</v>
      </c>
    </row>
    <row r="416" spans="2:10" ht="14.3" customHeight="1">
      <c r="B416" s="6">
        <v>413</v>
      </c>
      <c r="C416" s="7" t="s">
        <v>730</v>
      </c>
      <c r="D416" s="8">
        <v>43077</v>
      </c>
      <c r="E416" s="8">
        <v>43081</v>
      </c>
      <c r="F416" s="7" t="s">
        <v>731</v>
      </c>
      <c r="G416" s="7" t="s">
        <v>737</v>
      </c>
      <c r="H416" s="7">
        <v>1336.829</v>
      </c>
      <c r="I416" s="9">
        <f t="shared" si="13"/>
        <v>12</v>
      </c>
      <c r="J416">
        <f t="shared" si="14"/>
        <v>4</v>
      </c>
    </row>
    <row r="417" spans="2:10" ht="14.3" customHeight="1">
      <c r="B417" s="6">
        <v>414</v>
      </c>
      <c r="C417" s="7" t="s">
        <v>730</v>
      </c>
      <c r="D417" s="8">
        <v>43077</v>
      </c>
      <c r="E417" s="8">
        <v>43081</v>
      </c>
      <c r="F417" s="7" t="s">
        <v>731</v>
      </c>
      <c r="G417" s="7" t="s">
        <v>738</v>
      </c>
      <c r="H417" s="7">
        <v>113.56800000000001</v>
      </c>
      <c r="I417" s="9">
        <f t="shared" si="13"/>
        <v>12</v>
      </c>
      <c r="J417">
        <f t="shared" si="14"/>
        <v>4</v>
      </c>
    </row>
    <row r="418" spans="2:10" ht="14.3" customHeight="1">
      <c r="B418" s="6">
        <v>415</v>
      </c>
      <c r="C418" s="7" t="s">
        <v>739</v>
      </c>
      <c r="D418" s="8">
        <v>43042</v>
      </c>
      <c r="E418" s="8">
        <v>43046</v>
      </c>
      <c r="F418" s="7" t="s">
        <v>740</v>
      </c>
      <c r="G418" s="7" t="s">
        <v>741</v>
      </c>
      <c r="H418" s="7">
        <v>139.86000000000001</v>
      </c>
      <c r="I418" s="9">
        <f t="shared" si="13"/>
        <v>11</v>
      </c>
      <c r="J418">
        <f t="shared" si="14"/>
        <v>4</v>
      </c>
    </row>
    <row r="419" spans="2:10" ht="14.3" customHeight="1">
      <c r="B419" s="6">
        <v>416</v>
      </c>
      <c r="C419" s="7" t="s">
        <v>739</v>
      </c>
      <c r="D419" s="8">
        <v>43042</v>
      </c>
      <c r="E419" s="8">
        <v>43046</v>
      </c>
      <c r="F419" s="7" t="s">
        <v>740</v>
      </c>
      <c r="G419" s="7" t="s">
        <v>546</v>
      </c>
      <c r="H419" s="7">
        <v>307.13600000000002</v>
      </c>
      <c r="I419" s="9">
        <f t="shared" si="13"/>
        <v>11</v>
      </c>
      <c r="J419">
        <f t="shared" si="14"/>
        <v>4</v>
      </c>
    </row>
    <row r="420" spans="2:10" ht="14.3" customHeight="1">
      <c r="B420" s="6">
        <v>417</v>
      </c>
      <c r="C420" s="7" t="s">
        <v>742</v>
      </c>
      <c r="D420" s="8">
        <v>42910</v>
      </c>
      <c r="E420" s="8">
        <v>42914</v>
      </c>
      <c r="F420" s="7" t="s">
        <v>743</v>
      </c>
      <c r="G420" s="7" t="s">
        <v>744</v>
      </c>
      <c r="H420" s="7">
        <v>95.92</v>
      </c>
      <c r="I420" s="9">
        <f t="shared" si="13"/>
        <v>6</v>
      </c>
      <c r="J420">
        <f t="shared" si="14"/>
        <v>4</v>
      </c>
    </row>
    <row r="421" spans="2:10" ht="14.3" customHeight="1">
      <c r="B421" s="6">
        <v>418</v>
      </c>
      <c r="C421" s="7" t="s">
        <v>745</v>
      </c>
      <c r="D421" s="8">
        <v>42474</v>
      </c>
      <c r="E421" s="8">
        <v>42478</v>
      </c>
      <c r="F421" s="7" t="s">
        <v>746</v>
      </c>
      <c r="G421" s="7" t="s">
        <v>747</v>
      </c>
      <c r="H421" s="7">
        <v>383.8</v>
      </c>
      <c r="I421" s="9">
        <f t="shared" si="13"/>
        <v>4</v>
      </c>
      <c r="J421">
        <f t="shared" si="14"/>
        <v>4</v>
      </c>
    </row>
    <row r="422" spans="2:10" ht="14.3" customHeight="1">
      <c r="B422" s="6">
        <v>419</v>
      </c>
      <c r="C422" s="7" t="s">
        <v>748</v>
      </c>
      <c r="D422" s="8">
        <v>43045</v>
      </c>
      <c r="E422" s="8">
        <v>43049</v>
      </c>
      <c r="F422" s="7" t="s">
        <v>645</v>
      </c>
      <c r="G422" s="7" t="s">
        <v>749</v>
      </c>
      <c r="H422" s="7">
        <v>5.78</v>
      </c>
      <c r="I422" s="9">
        <f t="shared" si="13"/>
        <v>11</v>
      </c>
      <c r="J422">
        <f t="shared" si="14"/>
        <v>4</v>
      </c>
    </row>
    <row r="423" spans="2:10" ht="14.3" customHeight="1">
      <c r="B423" s="6">
        <v>420</v>
      </c>
      <c r="C423" s="7" t="s">
        <v>750</v>
      </c>
      <c r="D423" s="8">
        <v>42798</v>
      </c>
      <c r="E423" s="8">
        <v>42803</v>
      </c>
      <c r="F423" s="7" t="s">
        <v>584</v>
      </c>
      <c r="G423" s="7" t="s">
        <v>751</v>
      </c>
      <c r="H423" s="7">
        <v>9.32</v>
      </c>
      <c r="I423" s="9">
        <f t="shared" si="13"/>
        <v>3</v>
      </c>
      <c r="J423">
        <f t="shared" si="14"/>
        <v>5</v>
      </c>
    </row>
    <row r="424" spans="2:10" ht="14.3" customHeight="1">
      <c r="B424" s="6">
        <v>421</v>
      </c>
      <c r="C424" s="7" t="s">
        <v>750</v>
      </c>
      <c r="D424" s="8">
        <v>42798</v>
      </c>
      <c r="E424" s="8">
        <v>42803</v>
      </c>
      <c r="F424" s="7" t="s">
        <v>584</v>
      </c>
      <c r="G424" s="7" t="s">
        <v>752</v>
      </c>
      <c r="H424" s="7">
        <v>15.25</v>
      </c>
      <c r="I424" s="9">
        <f t="shared" si="13"/>
        <v>3</v>
      </c>
      <c r="J424">
        <f t="shared" si="14"/>
        <v>5</v>
      </c>
    </row>
    <row r="425" spans="2:10" ht="14.3" customHeight="1">
      <c r="B425" s="6">
        <v>422</v>
      </c>
      <c r="C425" s="7" t="s">
        <v>753</v>
      </c>
      <c r="D425" s="8">
        <v>41812</v>
      </c>
      <c r="E425" s="8">
        <v>41815</v>
      </c>
      <c r="F425" s="7" t="s">
        <v>151</v>
      </c>
      <c r="G425" s="7" t="s">
        <v>754</v>
      </c>
      <c r="H425" s="7">
        <v>196.75200000000001</v>
      </c>
      <c r="I425" s="9">
        <f t="shared" si="13"/>
        <v>6</v>
      </c>
      <c r="J425">
        <f t="shared" si="14"/>
        <v>3</v>
      </c>
    </row>
    <row r="426" spans="2:10" ht="14.3" customHeight="1">
      <c r="B426" s="6">
        <v>423</v>
      </c>
      <c r="C426" s="7" t="s">
        <v>755</v>
      </c>
      <c r="D426" s="8">
        <v>43027</v>
      </c>
      <c r="E426" s="8">
        <v>43031</v>
      </c>
      <c r="F426" s="7" t="s">
        <v>756</v>
      </c>
      <c r="G426" s="7" t="s">
        <v>757</v>
      </c>
      <c r="H426" s="7">
        <v>56.56</v>
      </c>
      <c r="I426" s="9">
        <f t="shared" si="13"/>
        <v>10</v>
      </c>
      <c r="J426">
        <f t="shared" si="14"/>
        <v>4</v>
      </c>
    </row>
    <row r="427" spans="2:10" ht="14.3" customHeight="1">
      <c r="B427" s="6">
        <v>424</v>
      </c>
      <c r="C427" s="7" t="s">
        <v>755</v>
      </c>
      <c r="D427" s="8">
        <v>43027</v>
      </c>
      <c r="E427" s="8">
        <v>43031</v>
      </c>
      <c r="F427" s="7" t="s">
        <v>756</v>
      </c>
      <c r="G427" s="7" t="s">
        <v>758</v>
      </c>
      <c r="H427" s="7">
        <v>32.700000000000003</v>
      </c>
      <c r="I427" s="9">
        <f t="shared" si="13"/>
        <v>10</v>
      </c>
      <c r="J427">
        <f t="shared" si="14"/>
        <v>4</v>
      </c>
    </row>
    <row r="428" spans="2:10" ht="14.3" customHeight="1">
      <c r="B428" s="6">
        <v>425</v>
      </c>
      <c r="C428" s="7" t="s">
        <v>759</v>
      </c>
      <c r="D428" s="8">
        <v>42968</v>
      </c>
      <c r="E428" s="8">
        <v>42970</v>
      </c>
      <c r="F428" s="7" t="s">
        <v>760</v>
      </c>
      <c r="G428" s="7" t="s">
        <v>761</v>
      </c>
      <c r="H428" s="7">
        <v>866.4</v>
      </c>
      <c r="I428" s="9">
        <f t="shared" si="13"/>
        <v>8</v>
      </c>
      <c r="J428">
        <f t="shared" si="14"/>
        <v>2</v>
      </c>
    </row>
    <row r="429" spans="2:10" ht="14.3" customHeight="1">
      <c r="B429" s="6">
        <v>426</v>
      </c>
      <c r="C429" s="7" t="s">
        <v>762</v>
      </c>
      <c r="D429" s="8">
        <v>43062</v>
      </c>
      <c r="E429" s="8">
        <v>43065</v>
      </c>
      <c r="F429" s="7" t="s">
        <v>118</v>
      </c>
      <c r="G429" s="7" t="s">
        <v>763</v>
      </c>
      <c r="H429" s="7">
        <v>28.4</v>
      </c>
      <c r="I429" s="9">
        <f t="shared" si="13"/>
        <v>11</v>
      </c>
      <c r="J429">
        <f t="shared" si="14"/>
        <v>3</v>
      </c>
    </row>
    <row r="430" spans="2:10" ht="14.3" customHeight="1">
      <c r="B430" s="6">
        <v>427</v>
      </c>
      <c r="C430" s="7" t="s">
        <v>762</v>
      </c>
      <c r="D430" s="8">
        <v>43062</v>
      </c>
      <c r="E430" s="8">
        <v>43065</v>
      </c>
      <c r="F430" s="7" t="s">
        <v>118</v>
      </c>
      <c r="G430" s="7" t="s">
        <v>764</v>
      </c>
      <c r="H430" s="7">
        <v>287.92</v>
      </c>
      <c r="I430" s="9">
        <f t="shared" si="13"/>
        <v>11</v>
      </c>
      <c r="J430">
        <f t="shared" si="14"/>
        <v>3</v>
      </c>
    </row>
    <row r="431" spans="2:10" ht="14.3" customHeight="1">
      <c r="B431" s="6">
        <v>428</v>
      </c>
      <c r="C431" s="7" t="s">
        <v>765</v>
      </c>
      <c r="D431" s="8">
        <v>41894</v>
      </c>
      <c r="E431" s="8">
        <v>41895</v>
      </c>
      <c r="F431" s="7" t="s">
        <v>766</v>
      </c>
      <c r="G431" s="7" t="s">
        <v>767</v>
      </c>
      <c r="H431" s="7">
        <v>69.989999999999995</v>
      </c>
      <c r="I431" s="9">
        <f t="shared" si="13"/>
        <v>9</v>
      </c>
      <c r="J431">
        <f t="shared" si="14"/>
        <v>1</v>
      </c>
    </row>
    <row r="432" spans="2:10" ht="14.3" customHeight="1">
      <c r="B432" s="6">
        <v>429</v>
      </c>
      <c r="C432" s="7" t="s">
        <v>768</v>
      </c>
      <c r="D432" s="8">
        <v>43009</v>
      </c>
      <c r="E432" s="8">
        <v>43016</v>
      </c>
      <c r="F432" s="7" t="s">
        <v>769</v>
      </c>
      <c r="G432" s="7" t="s">
        <v>770</v>
      </c>
      <c r="H432" s="7">
        <v>6.6719999999999988</v>
      </c>
      <c r="I432" s="9">
        <f t="shared" si="13"/>
        <v>10</v>
      </c>
      <c r="J432">
        <f t="shared" si="14"/>
        <v>7</v>
      </c>
    </row>
    <row r="433" spans="2:10" ht="14.3" customHeight="1">
      <c r="B433" s="6">
        <v>430</v>
      </c>
      <c r="C433" s="7" t="s">
        <v>771</v>
      </c>
      <c r="D433" s="8">
        <v>42475</v>
      </c>
      <c r="E433" s="8">
        <v>42481</v>
      </c>
      <c r="F433" s="7" t="s">
        <v>772</v>
      </c>
      <c r="G433" s="7" t="s">
        <v>773</v>
      </c>
      <c r="H433" s="7">
        <v>189.58800000000005</v>
      </c>
      <c r="I433" s="9">
        <f t="shared" si="13"/>
        <v>4</v>
      </c>
      <c r="J433">
        <f t="shared" si="14"/>
        <v>6</v>
      </c>
    </row>
    <row r="434" spans="2:10" ht="14.3" customHeight="1">
      <c r="B434" s="6">
        <v>431</v>
      </c>
      <c r="C434" s="7" t="s">
        <v>771</v>
      </c>
      <c r="D434" s="8">
        <v>42475</v>
      </c>
      <c r="E434" s="8">
        <v>42481</v>
      </c>
      <c r="F434" s="7" t="s">
        <v>772</v>
      </c>
      <c r="G434" s="7" t="s">
        <v>358</v>
      </c>
      <c r="H434" s="7">
        <v>408.74399999999997</v>
      </c>
      <c r="I434" s="9">
        <f t="shared" si="13"/>
        <v>4</v>
      </c>
      <c r="J434">
        <f t="shared" si="14"/>
        <v>6</v>
      </c>
    </row>
    <row r="435" spans="2:10" ht="14.3" customHeight="1">
      <c r="B435" s="6">
        <v>432</v>
      </c>
      <c r="C435" s="7" t="s">
        <v>771</v>
      </c>
      <c r="D435" s="8">
        <v>42475</v>
      </c>
      <c r="E435" s="8">
        <v>42481</v>
      </c>
      <c r="F435" s="7" t="s">
        <v>772</v>
      </c>
      <c r="G435" s="7" t="s">
        <v>358</v>
      </c>
      <c r="H435" s="7">
        <v>291.95999999999998</v>
      </c>
      <c r="I435" s="9">
        <f t="shared" si="13"/>
        <v>4</v>
      </c>
      <c r="J435">
        <f t="shared" si="14"/>
        <v>6</v>
      </c>
    </row>
    <row r="436" spans="2:10" ht="14.3" customHeight="1">
      <c r="B436" s="6">
        <v>433</v>
      </c>
      <c r="C436" s="7" t="s">
        <v>771</v>
      </c>
      <c r="D436" s="8">
        <v>42475</v>
      </c>
      <c r="E436" s="8">
        <v>42481</v>
      </c>
      <c r="F436" s="7" t="s">
        <v>772</v>
      </c>
      <c r="G436" s="7" t="s">
        <v>774</v>
      </c>
      <c r="H436" s="7">
        <v>4.7679999999999998</v>
      </c>
      <c r="I436" s="9">
        <f t="shared" si="13"/>
        <v>4</v>
      </c>
      <c r="J436">
        <f t="shared" si="14"/>
        <v>6</v>
      </c>
    </row>
    <row r="437" spans="2:10" ht="14.3" customHeight="1">
      <c r="B437" s="6">
        <v>434</v>
      </c>
      <c r="C437" s="7" t="s">
        <v>775</v>
      </c>
      <c r="D437" s="8">
        <v>42527</v>
      </c>
      <c r="E437" s="8">
        <v>42528</v>
      </c>
      <c r="F437" s="7" t="s">
        <v>311</v>
      </c>
      <c r="G437" s="7" t="s">
        <v>776</v>
      </c>
      <c r="H437" s="7">
        <v>714.30000000000007</v>
      </c>
      <c r="I437" s="9">
        <f t="shared" si="13"/>
        <v>6</v>
      </c>
      <c r="J437">
        <f t="shared" si="14"/>
        <v>1</v>
      </c>
    </row>
    <row r="438" spans="2:10" ht="14.3" customHeight="1">
      <c r="B438" s="6">
        <v>435</v>
      </c>
      <c r="C438" s="7" t="s">
        <v>777</v>
      </c>
      <c r="D438" s="8">
        <v>41992</v>
      </c>
      <c r="E438" s="8">
        <v>41998</v>
      </c>
      <c r="F438" s="7" t="s">
        <v>778</v>
      </c>
      <c r="G438" s="7" t="s">
        <v>779</v>
      </c>
      <c r="H438" s="7">
        <v>4.8120000000000003</v>
      </c>
      <c r="I438" s="9">
        <f t="shared" si="13"/>
        <v>12</v>
      </c>
      <c r="J438">
        <f t="shared" si="14"/>
        <v>6</v>
      </c>
    </row>
    <row r="439" spans="2:10" ht="14.3" customHeight="1">
      <c r="B439" s="6">
        <v>436</v>
      </c>
      <c r="C439" s="7" t="s">
        <v>777</v>
      </c>
      <c r="D439" s="8">
        <v>41992</v>
      </c>
      <c r="E439" s="8">
        <v>41998</v>
      </c>
      <c r="F439" s="7" t="s">
        <v>778</v>
      </c>
      <c r="G439" s="7" t="s">
        <v>780</v>
      </c>
      <c r="H439" s="7">
        <v>247.8</v>
      </c>
      <c r="I439" s="9">
        <f t="shared" si="13"/>
        <v>12</v>
      </c>
      <c r="J439">
        <f t="shared" si="14"/>
        <v>6</v>
      </c>
    </row>
    <row r="440" spans="2:10" ht="14.3" customHeight="1">
      <c r="B440" s="6">
        <v>437</v>
      </c>
      <c r="C440" s="7" t="s">
        <v>781</v>
      </c>
      <c r="D440" s="8">
        <v>42533</v>
      </c>
      <c r="E440" s="8">
        <v>42535</v>
      </c>
      <c r="F440" s="7" t="s">
        <v>782</v>
      </c>
      <c r="G440" s="7" t="s">
        <v>783</v>
      </c>
      <c r="H440" s="7">
        <v>1007.979</v>
      </c>
      <c r="I440" s="9">
        <f t="shared" si="13"/>
        <v>6</v>
      </c>
      <c r="J440">
        <f t="shared" si="14"/>
        <v>2</v>
      </c>
    </row>
    <row r="441" spans="2:10" ht="14.3" customHeight="1">
      <c r="B441" s="6">
        <v>438</v>
      </c>
      <c r="C441" s="7" t="s">
        <v>781</v>
      </c>
      <c r="D441" s="8">
        <v>42533</v>
      </c>
      <c r="E441" s="8">
        <v>42535</v>
      </c>
      <c r="F441" s="7" t="s">
        <v>782</v>
      </c>
      <c r="G441" s="7" t="s">
        <v>634</v>
      </c>
      <c r="H441" s="7">
        <v>313.488</v>
      </c>
      <c r="I441" s="9">
        <f t="shared" si="13"/>
        <v>6</v>
      </c>
      <c r="J441">
        <f t="shared" si="14"/>
        <v>2</v>
      </c>
    </row>
    <row r="442" spans="2:10" ht="14.3" customHeight="1">
      <c r="B442" s="6">
        <v>439</v>
      </c>
      <c r="C442" s="7" t="s">
        <v>784</v>
      </c>
      <c r="D442" s="8">
        <v>42993</v>
      </c>
      <c r="E442" s="8">
        <v>42997</v>
      </c>
      <c r="F442" s="7" t="s">
        <v>785</v>
      </c>
      <c r="G442" s="7" t="s">
        <v>786</v>
      </c>
      <c r="H442" s="7">
        <v>31.872000000000003</v>
      </c>
      <c r="I442" s="9">
        <f t="shared" si="13"/>
        <v>9</v>
      </c>
      <c r="J442">
        <f t="shared" si="14"/>
        <v>4</v>
      </c>
    </row>
    <row r="443" spans="2:10" ht="14.3" customHeight="1">
      <c r="B443" s="6">
        <v>440</v>
      </c>
      <c r="C443" s="7" t="s">
        <v>787</v>
      </c>
      <c r="D443" s="8">
        <v>42755</v>
      </c>
      <c r="E443" s="8">
        <v>42758</v>
      </c>
      <c r="F443" s="7" t="s">
        <v>228</v>
      </c>
      <c r="G443" s="7" t="s">
        <v>788</v>
      </c>
      <c r="H443" s="7">
        <v>207.84600000000003</v>
      </c>
      <c r="I443" s="9">
        <f t="shared" si="13"/>
        <v>1</v>
      </c>
      <c r="J443">
        <f t="shared" si="14"/>
        <v>3</v>
      </c>
    </row>
    <row r="444" spans="2:10" ht="14.3" customHeight="1">
      <c r="B444" s="6">
        <v>441</v>
      </c>
      <c r="C444" s="7" t="s">
        <v>789</v>
      </c>
      <c r="D444" s="8">
        <v>42618</v>
      </c>
      <c r="E444" s="8">
        <v>42620</v>
      </c>
      <c r="F444" s="7" t="s">
        <v>46</v>
      </c>
      <c r="G444" s="7" t="s">
        <v>790</v>
      </c>
      <c r="H444" s="7">
        <v>12.22</v>
      </c>
      <c r="I444" s="9">
        <f t="shared" si="13"/>
        <v>9</v>
      </c>
      <c r="J444">
        <f t="shared" si="14"/>
        <v>2</v>
      </c>
    </row>
    <row r="445" spans="2:10" ht="14.3" customHeight="1">
      <c r="B445" s="6">
        <v>442</v>
      </c>
      <c r="C445" s="7" t="s">
        <v>789</v>
      </c>
      <c r="D445" s="8">
        <v>42618</v>
      </c>
      <c r="E445" s="8">
        <v>42620</v>
      </c>
      <c r="F445" s="7" t="s">
        <v>46</v>
      </c>
      <c r="G445" s="7" t="s">
        <v>791</v>
      </c>
      <c r="H445" s="7">
        <v>194.94</v>
      </c>
      <c r="I445" s="9">
        <f t="shared" si="13"/>
        <v>9</v>
      </c>
      <c r="J445">
        <f t="shared" si="14"/>
        <v>2</v>
      </c>
    </row>
    <row r="446" spans="2:10" ht="14.3" customHeight="1">
      <c r="B446" s="6">
        <v>443</v>
      </c>
      <c r="C446" s="7" t="s">
        <v>789</v>
      </c>
      <c r="D446" s="8">
        <v>42618</v>
      </c>
      <c r="E446" s="8">
        <v>42620</v>
      </c>
      <c r="F446" s="7" t="s">
        <v>46</v>
      </c>
      <c r="G446" s="7" t="s">
        <v>792</v>
      </c>
      <c r="H446" s="7">
        <v>70.949999999999989</v>
      </c>
      <c r="I446" s="9">
        <f t="shared" si="13"/>
        <v>9</v>
      </c>
      <c r="J446">
        <f t="shared" si="14"/>
        <v>2</v>
      </c>
    </row>
    <row r="447" spans="2:10" ht="14.3" customHeight="1">
      <c r="B447" s="6">
        <v>444</v>
      </c>
      <c r="C447" s="7" t="s">
        <v>789</v>
      </c>
      <c r="D447" s="8">
        <v>42618</v>
      </c>
      <c r="E447" s="8">
        <v>42620</v>
      </c>
      <c r="F447" s="7" t="s">
        <v>46</v>
      </c>
      <c r="G447" s="7" t="s">
        <v>793</v>
      </c>
      <c r="H447" s="7">
        <v>91.36</v>
      </c>
      <c r="I447" s="9">
        <f t="shared" si="13"/>
        <v>9</v>
      </c>
      <c r="J447">
        <f t="shared" si="14"/>
        <v>2</v>
      </c>
    </row>
    <row r="448" spans="2:10" ht="14.3" customHeight="1">
      <c r="B448" s="6">
        <v>445</v>
      </c>
      <c r="C448" s="7" t="s">
        <v>789</v>
      </c>
      <c r="D448" s="8">
        <v>42618</v>
      </c>
      <c r="E448" s="8">
        <v>42620</v>
      </c>
      <c r="F448" s="7" t="s">
        <v>46</v>
      </c>
      <c r="G448" s="7" t="s">
        <v>794</v>
      </c>
      <c r="H448" s="7">
        <v>242.94</v>
      </c>
      <c r="I448" s="9">
        <f t="shared" si="13"/>
        <v>9</v>
      </c>
      <c r="J448">
        <f t="shared" si="14"/>
        <v>2</v>
      </c>
    </row>
    <row r="449" spans="2:10" ht="14.3" customHeight="1">
      <c r="B449" s="6">
        <v>446</v>
      </c>
      <c r="C449" s="7" t="s">
        <v>789</v>
      </c>
      <c r="D449" s="8">
        <v>42618</v>
      </c>
      <c r="E449" s="8">
        <v>42620</v>
      </c>
      <c r="F449" s="7" t="s">
        <v>46</v>
      </c>
      <c r="G449" s="7" t="s">
        <v>795</v>
      </c>
      <c r="H449" s="7">
        <v>22.05</v>
      </c>
      <c r="I449" s="9">
        <f t="shared" si="13"/>
        <v>9</v>
      </c>
      <c r="J449">
        <f t="shared" si="14"/>
        <v>2</v>
      </c>
    </row>
    <row r="450" spans="2:10" ht="14.3" customHeight="1">
      <c r="B450" s="6">
        <v>447</v>
      </c>
      <c r="C450" s="7" t="s">
        <v>796</v>
      </c>
      <c r="D450" s="8">
        <v>42814</v>
      </c>
      <c r="E450" s="8">
        <v>42819</v>
      </c>
      <c r="F450" s="7" t="s">
        <v>797</v>
      </c>
      <c r="G450" s="7" t="s">
        <v>798</v>
      </c>
      <c r="H450" s="7">
        <v>2.91</v>
      </c>
      <c r="I450" s="9">
        <f t="shared" si="13"/>
        <v>3</v>
      </c>
      <c r="J450">
        <f t="shared" si="14"/>
        <v>5</v>
      </c>
    </row>
    <row r="451" spans="2:10" ht="14.3" customHeight="1">
      <c r="B451" s="6">
        <v>448</v>
      </c>
      <c r="C451" s="7" t="s">
        <v>799</v>
      </c>
      <c r="D451" s="8">
        <v>42461</v>
      </c>
      <c r="E451" s="8">
        <v>42463</v>
      </c>
      <c r="F451" s="7" t="s">
        <v>800</v>
      </c>
      <c r="G451" s="7" t="s">
        <v>801</v>
      </c>
      <c r="H451" s="7">
        <v>59.519999999999996</v>
      </c>
      <c r="I451" s="9">
        <f t="shared" si="13"/>
        <v>4</v>
      </c>
      <c r="J451">
        <f t="shared" si="14"/>
        <v>2</v>
      </c>
    </row>
    <row r="452" spans="2:10" ht="14.3" customHeight="1">
      <c r="B452" s="6">
        <v>449</v>
      </c>
      <c r="C452" s="7" t="s">
        <v>799</v>
      </c>
      <c r="D452" s="8">
        <v>42461</v>
      </c>
      <c r="E452" s="8">
        <v>42463</v>
      </c>
      <c r="F452" s="7" t="s">
        <v>800</v>
      </c>
      <c r="G452" s="7" t="s">
        <v>802</v>
      </c>
      <c r="H452" s="7">
        <v>161.94</v>
      </c>
      <c r="I452" s="9">
        <f t="shared" si="13"/>
        <v>4</v>
      </c>
      <c r="J452">
        <f t="shared" si="14"/>
        <v>2</v>
      </c>
    </row>
    <row r="453" spans="2:10" ht="14.3" customHeight="1">
      <c r="B453" s="6">
        <v>450</v>
      </c>
      <c r="C453" s="7" t="s">
        <v>799</v>
      </c>
      <c r="D453" s="8">
        <v>42461</v>
      </c>
      <c r="E453" s="8">
        <v>42463</v>
      </c>
      <c r="F453" s="7" t="s">
        <v>800</v>
      </c>
      <c r="G453" s="7" t="s">
        <v>803</v>
      </c>
      <c r="H453" s="7">
        <v>263.88</v>
      </c>
      <c r="I453" s="9">
        <f t="shared" ref="I453:I503" si="15">MONTH(D453)</f>
        <v>4</v>
      </c>
      <c r="J453">
        <f t="shared" ref="J453:J503" si="16">DATEDIF(D453,E453,"D")</f>
        <v>2</v>
      </c>
    </row>
    <row r="454" spans="2:10" ht="14.3" customHeight="1">
      <c r="B454" s="6">
        <v>451</v>
      </c>
      <c r="C454" s="7" t="s">
        <v>799</v>
      </c>
      <c r="D454" s="8">
        <v>42461</v>
      </c>
      <c r="E454" s="8">
        <v>42463</v>
      </c>
      <c r="F454" s="7" t="s">
        <v>800</v>
      </c>
      <c r="G454" s="7" t="s">
        <v>804</v>
      </c>
      <c r="H454" s="7">
        <v>30.48</v>
      </c>
      <c r="I454" s="9">
        <f t="shared" si="15"/>
        <v>4</v>
      </c>
      <c r="J454">
        <f t="shared" si="16"/>
        <v>2</v>
      </c>
    </row>
    <row r="455" spans="2:10" ht="14.3" customHeight="1">
      <c r="B455" s="6">
        <v>452</v>
      </c>
      <c r="C455" s="7" t="s">
        <v>799</v>
      </c>
      <c r="D455" s="8">
        <v>42461</v>
      </c>
      <c r="E455" s="8">
        <v>42463</v>
      </c>
      <c r="F455" s="7" t="s">
        <v>800</v>
      </c>
      <c r="G455" s="7" t="s">
        <v>805</v>
      </c>
      <c r="H455" s="7">
        <v>9.84</v>
      </c>
      <c r="I455" s="9">
        <f t="shared" si="15"/>
        <v>4</v>
      </c>
      <c r="J455">
        <f t="shared" si="16"/>
        <v>2</v>
      </c>
    </row>
    <row r="456" spans="2:10" ht="14.3" customHeight="1">
      <c r="B456" s="6">
        <v>453</v>
      </c>
      <c r="C456" s="7" t="s">
        <v>799</v>
      </c>
      <c r="D456" s="8">
        <v>42461</v>
      </c>
      <c r="E456" s="8">
        <v>42463</v>
      </c>
      <c r="F456" s="7" t="s">
        <v>800</v>
      </c>
      <c r="G456" s="7" t="s">
        <v>806</v>
      </c>
      <c r="H456" s="7">
        <v>35.119999999999997</v>
      </c>
      <c r="I456" s="9">
        <f t="shared" si="15"/>
        <v>4</v>
      </c>
      <c r="J456">
        <f t="shared" si="16"/>
        <v>2</v>
      </c>
    </row>
    <row r="457" spans="2:10" ht="14.3" customHeight="1">
      <c r="B457" s="6">
        <v>454</v>
      </c>
      <c r="C457" s="7" t="s">
        <v>807</v>
      </c>
      <c r="D457" s="8">
        <v>43028</v>
      </c>
      <c r="E457" s="8">
        <v>43032</v>
      </c>
      <c r="F457" s="7" t="s">
        <v>808</v>
      </c>
      <c r="G457" s="7" t="s">
        <v>33</v>
      </c>
      <c r="H457" s="7">
        <v>284.36399999999998</v>
      </c>
      <c r="I457" s="9">
        <f t="shared" si="15"/>
        <v>10</v>
      </c>
      <c r="J457">
        <f t="shared" si="16"/>
        <v>4</v>
      </c>
    </row>
    <row r="458" spans="2:10" ht="14.3" customHeight="1">
      <c r="B458" s="6">
        <v>455</v>
      </c>
      <c r="C458" s="7" t="s">
        <v>807</v>
      </c>
      <c r="D458" s="8">
        <v>43028</v>
      </c>
      <c r="E458" s="8">
        <v>43032</v>
      </c>
      <c r="F458" s="7" t="s">
        <v>808</v>
      </c>
      <c r="G458" s="7" t="s">
        <v>809</v>
      </c>
      <c r="H458" s="7">
        <v>665.40800000000002</v>
      </c>
      <c r="I458" s="9">
        <f t="shared" si="15"/>
        <v>10</v>
      </c>
      <c r="J458">
        <f t="shared" si="16"/>
        <v>4</v>
      </c>
    </row>
    <row r="459" spans="2:10" ht="14.3" customHeight="1">
      <c r="B459" s="6">
        <v>456</v>
      </c>
      <c r="C459" s="7" t="s">
        <v>810</v>
      </c>
      <c r="D459" s="8">
        <v>42717</v>
      </c>
      <c r="E459" s="8">
        <v>42721</v>
      </c>
      <c r="F459" s="7" t="s">
        <v>769</v>
      </c>
      <c r="G459" s="7" t="s">
        <v>811</v>
      </c>
      <c r="H459" s="7">
        <v>63.88</v>
      </c>
      <c r="I459" s="9">
        <f t="shared" si="15"/>
        <v>12</v>
      </c>
      <c r="J459">
        <f t="shared" si="16"/>
        <v>4</v>
      </c>
    </row>
    <row r="460" spans="2:10" ht="14.3" customHeight="1">
      <c r="B460" s="6">
        <v>457</v>
      </c>
      <c r="C460" s="7" t="s">
        <v>812</v>
      </c>
      <c r="D460" s="8">
        <v>41682</v>
      </c>
      <c r="E460" s="8">
        <v>41688</v>
      </c>
      <c r="F460" s="7" t="s">
        <v>813</v>
      </c>
      <c r="G460" s="7" t="s">
        <v>814</v>
      </c>
      <c r="H460" s="7">
        <v>129.56800000000001</v>
      </c>
      <c r="I460" s="9">
        <f t="shared" si="15"/>
        <v>2</v>
      </c>
      <c r="J460">
        <f t="shared" si="16"/>
        <v>6</v>
      </c>
    </row>
    <row r="461" spans="2:10" ht="14.3" customHeight="1">
      <c r="B461" s="6">
        <v>458</v>
      </c>
      <c r="C461" s="7" t="s">
        <v>815</v>
      </c>
      <c r="D461" s="8">
        <v>42639</v>
      </c>
      <c r="E461" s="8">
        <v>42644</v>
      </c>
      <c r="F461" s="7" t="s">
        <v>760</v>
      </c>
      <c r="G461" s="7" t="s">
        <v>816</v>
      </c>
      <c r="H461" s="7">
        <v>747.55799999999999</v>
      </c>
      <c r="I461" s="9">
        <f t="shared" si="15"/>
        <v>9</v>
      </c>
      <c r="J461">
        <f t="shared" si="16"/>
        <v>5</v>
      </c>
    </row>
    <row r="462" spans="2:10" ht="14.3" customHeight="1">
      <c r="B462" s="6">
        <v>459</v>
      </c>
      <c r="C462" s="7" t="s">
        <v>815</v>
      </c>
      <c r="D462" s="8">
        <v>42639</v>
      </c>
      <c r="E462" s="8">
        <v>42644</v>
      </c>
      <c r="F462" s="7" t="s">
        <v>760</v>
      </c>
      <c r="G462" s="7" t="s">
        <v>817</v>
      </c>
      <c r="H462" s="7">
        <v>8.9280000000000008</v>
      </c>
      <c r="I462" s="9">
        <f t="shared" si="15"/>
        <v>9</v>
      </c>
      <c r="J462">
        <f t="shared" si="16"/>
        <v>5</v>
      </c>
    </row>
    <row r="463" spans="2:10" ht="14.3" customHeight="1">
      <c r="B463" s="6">
        <v>460</v>
      </c>
      <c r="C463" s="7" t="s">
        <v>818</v>
      </c>
      <c r="D463" s="8">
        <v>42353</v>
      </c>
      <c r="E463" s="8">
        <v>42360</v>
      </c>
      <c r="F463" s="7" t="s">
        <v>409</v>
      </c>
      <c r="G463" s="7" t="s">
        <v>819</v>
      </c>
      <c r="H463" s="7">
        <v>103.92</v>
      </c>
      <c r="I463" s="9">
        <f t="shared" si="15"/>
        <v>12</v>
      </c>
      <c r="J463">
        <f t="shared" si="16"/>
        <v>7</v>
      </c>
    </row>
    <row r="464" spans="2:10" ht="14.3" customHeight="1">
      <c r="B464" s="6">
        <v>461</v>
      </c>
      <c r="C464" s="7" t="s">
        <v>818</v>
      </c>
      <c r="D464" s="8">
        <v>42353</v>
      </c>
      <c r="E464" s="8">
        <v>42360</v>
      </c>
      <c r="F464" s="7" t="s">
        <v>409</v>
      </c>
      <c r="G464" s="7" t="s">
        <v>820</v>
      </c>
      <c r="H464" s="7">
        <v>899.91</v>
      </c>
      <c r="I464" s="9">
        <f t="shared" si="15"/>
        <v>12</v>
      </c>
      <c r="J464">
        <f t="shared" si="16"/>
        <v>7</v>
      </c>
    </row>
    <row r="465" spans="2:10" ht="14.3" customHeight="1">
      <c r="B465" s="6">
        <v>462</v>
      </c>
      <c r="C465" s="7" t="s">
        <v>818</v>
      </c>
      <c r="D465" s="8">
        <v>42353</v>
      </c>
      <c r="E465" s="8">
        <v>42360</v>
      </c>
      <c r="F465" s="7" t="s">
        <v>409</v>
      </c>
      <c r="G465" s="7" t="s">
        <v>821</v>
      </c>
      <c r="H465" s="7">
        <v>51.311999999999998</v>
      </c>
      <c r="I465" s="9">
        <f t="shared" si="15"/>
        <v>12</v>
      </c>
      <c r="J465">
        <f t="shared" si="16"/>
        <v>7</v>
      </c>
    </row>
    <row r="466" spans="2:10" ht="14.3" customHeight="1">
      <c r="B466" s="6">
        <v>463</v>
      </c>
      <c r="C466" s="7" t="s">
        <v>822</v>
      </c>
      <c r="D466" s="8">
        <v>42482</v>
      </c>
      <c r="E466" s="8">
        <v>42489</v>
      </c>
      <c r="F466" s="7" t="s">
        <v>823</v>
      </c>
      <c r="G466" s="7" t="s">
        <v>652</v>
      </c>
      <c r="H466" s="7">
        <v>23.56</v>
      </c>
      <c r="I466" s="9">
        <f t="shared" si="15"/>
        <v>4</v>
      </c>
      <c r="J466">
        <f t="shared" si="16"/>
        <v>7</v>
      </c>
    </row>
    <row r="467" spans="2:10" ht="14.3" customHeight="1">
      <c r="B467" s="6">
        <v>464</v>
      </c>
      <c r="C467" s="7" t="s">
        <v>822</v>
      </c>
      <c r="D467" s="8">
        <v>42482</v>
      </c>
      <c r="E467" s="8">
        <v>42489</v>
      </c>
      <c r="F467" s="7" t="s">
        <v>823</v>
      </c>
      <c r="G467" s="7" t="s">
        <v>824</v>
      </c>
      <c r="H467" s="7">
        <v>1272.6299999999999</v>
      </c>
      <c r="I467" s="9">
        <f t="shared" si="15"/>
        <v>4</v>
      </c>
      <c r="J467">
        <f t="shared" si="16"/>
        <v>7</v>
      </c>
    </row>
    <row r="468" spans="2:10" ht="14.3" customHeight="1">
      <c r="B468" s="6">
        <v>465</v>
      </c>
      <c r="C468" s="7" t="s">
        <v>822</v>
      </c>
      <c r="D468" s="8">
        <v>42482</v>
      </c>
      <c r="E468" s="8">
        <v>42489</v>
      </c>
      <c r="F468" s="7" t="s">
        <v>823</v>
      </c>
      <c r="G468" s="7" t="s">
        <v>825</v>
      </c>
      <c r="H468" s="7">
        <v>28.484999999999999</v>
      </c>
      <c r="I468" s="9">
        <f t="shared" si="15"/>
        <v>4</v>
      </c>
      <c r="J468">
        <f t="shared" si="16"/>
        <v>7</v>
      </c>
    </row>
    <row r="469" spans="2:10" ht="14.3" customHeight="1">
      <c r="B469" s="6">
        <v>466</v>
      </c>
      <c r="C469" s="7" t="s">
        <v>822</v>
      </c>
      <c r="D469" s="8">
        <v>42482</v>
      </c>
      <c r="E469" s="8">
        <v>42489</v>
      </c>
      <c r="F469" s="7" t="s">
        <v>823</v>
      </c>
      <c r="G469" s="7" t="s">
        <v>826</v>
      </c>
      <c r="H469" s="7">
        <v>185.376</v>
      </c>
      <c r="I469" s="9">
        <f t="shared" si="15"/>
        <v>4</v>
      </c>
      <c r="J469">
        <f t="shared" si="16"/>
        <v>7</v>
      </c>
    </row>
    <row r="470" spans="2:10" ht="14.3" customHeight="1">
      <c r="B470" s="6">
        <v>467</v>
      </c>
      <c r="C470" s="7" t="s">
        <v>822</v>
      </c>
      <c r="D470" s="8">
        <v>42482</v>
      </c>
      <c r="E470" s="8">
        <v>42489</v>
      </c>
      <c r="F470" s="7" t="s">
        <v>823</v>
      </c>
      <c r="G470" s="7" t="s">
        <v>827</v>
      </c>
      <c r="H470" s="7">
        <v>78.272000000000006</v>
      </c>
      <c r="I470" s="9">
        <f t="shared" si="15"/>
        <v>4</v>
      </c>
      <c r="J470">
        <f t="shared" si="16"/>
        <v>7</v>
      </c>
    </row>
    <row r="471" spans="2:10" ht="14.3" customHeight="1">
      <c r="B471" s="6">
        <v>468</v>
      </c>
      <c r="C471" s="7" t="s">
        <v>828</v>
      </c>
      <c r="D471" s="8">
        <v>42021</v>
      </c>
      <c r="E471" s="8">
        <v>42028</v>
      </c>
      <c r="F471" s="7" t="s">
        <v>829</v>
      </c>
      <c r="G471" s="7" t="s">
        <v>547</v>
      </c>
      <c r="H471" s="7">
        <v>254.74400000000003</v>
      </c>
      <c r="I471" s="9">
        <f t="shared" si="15"/>
        <v>1</v>
      </c>
      <c r="J471">
        <f t="shared" si="16"/>
        <v>7</v>
      </c>
    </row>
    <row r="472" spans="2:10" ht="14.3" customHeight="1">
      <c r="B472" s="6">
        <v>469</v>
      </c>
      <c r="C472" s="7" t="s">
        <v>830</v>
      </c>
      <c r="D472" s="8">
        <v>42825</v>
      </c>
      <c r="E472" s="8">
        <v>42829</v>
      </c>
      <c r="F472" s="7" t="s">
        <v>434</v>
      </c>
      <c r="G472" s="7" t="s">
        <v>831</v>
      </c>
      <c r="H472" s="7">
        <v>205.33279999999996</v>
      </c>
      <c r="I472" s="9">
        <f t="shared" si="15"/>
        <v>3</v>
      </c>
      <c r="J472">
        <f t="shared" si="16"/>
        <v>4</v>
      </c>
    </row>
    <row r="473" spans="2:10" ht="14.3" customHeight="1">
      <c r="B473" s="6">
        <v>470</v>
      </c>
      <c r="C473" s="7" t="s">
        <v>832</v>
      </c>
      <c r="D473" s="8">
        <v>42720</v>
      </c>
      <c r="E473" s="8">
        <v>42724</v>
      </c>
      <c r="F473" s="7" t="s">
        <v>481</v>
      </c>
      <c r="G473" s="7" t="s">
        <v>833</v>
      </c>
      <c r="H473" s="7">
        <v>4.7879999999999985</v>
      </c>
      <c r="I473" s="9">
        <f t="shared" si="15"/>
        <v>12</v>
      </c>
      <c r="J473">
        <f t="shared" si="16"/>
        <v>4</v>
      </c>
    </row>
    <row r="474" spans="2:10" ht="14.3" customHeight="1">
      <c r="B474" s="6">
        <v>471</v>
      </c>
      <c r="C474" s="7" t="s">
        <v>834</v>
      </c>
      <c r="D474" s="8">
        <v>42358</v>
      </c>
      <c r="E474" s="8">
        <v>42362</v>
      </c>
      <c r="F474" s="7" t="s">
        <v>835</v>
      </c>
      <c r="G474" s="7" t="s">
        <v>836</v>
      </c>
      <c r="H474" s="7">
        <v>55.48</v>
      </c>
      <c r="I474" s="9">
        <f t="shared" si="15"/>
        <v>12</v>
      </c>
      <c r="J474">
        <f t="shared" si="16"/>
        <v>4</v>
      </c>
    </row>
    <row r="475" spans="2:10" ht="14.3" customHeight="1">
      <c r="B475" s="6">
        <v>472</v>
      </c>
      <c r="C475" s="7" t="s">
        <v>837</v>
      </c>
      <c r="D475" s="8">
        <v>41952</v>
      </c>
      <c r="E475" s="8">
        <v>41954</v>
      </c>
      <c r="F475" s="7" t="s">
        <v>838</v>
      </c>
      <c r="G475" s="7" t="s">
        <v>839</v>
      </c>
      <c r="H475" s="7">
        <v>340.92</v>
      </c>
      <c r="I475" s="9">
        <f t="shared" si="15"/>
        <v>11</v>
      </c>
      <c r="J475">
        <f t="shared" si="16"/>
        <v>2</v>
      </c>
    </row>
    <row r="476" spans="2:10" ht="14.3" customHeight="1">
      <c r="B476" s="6">
        <v>473</v>
      </c>
      <c r="C476" s="7" t="s">
        <v>837</v>
      </c>
      <c r="D476" s="8">
        <v>41952</v>
      </c>
      <c r="E476" s="8">
        <v>41954</v>
      </c>
      <c r="F476" s="7" t="s">
        <v>838</v>
      </c>
      <c r="G476" s="7" t="s">
        <v>840</v>
      </c>
      <c r="H476" s="7">
        <v>222.66599999999997</v>
      </c>
      <c r="I476" s="9">
        <f t="shared" si="15"/>
        <v>11</v>
      </c>
      <c r="J476">
        <f t="shared" si="16"/>
        <v>2</v>
      </c>
    </row>
    <row r="477" spans="2:10" ht="14.3" customHeight="1">
      <c r="B477" s="6">
        <v>474</v>
      </c>
      <c r="C477" s="7" t="s">
        <v>837</v>
      </c>
      <c r="D477" s="8">
        <v>41952</v>
      </c>
      <c r="E477" s="8">
        <v>41954</v>
      </c>
      <c r="F477" s="7" t="s">
        <v>838</v>
      </c>
      <c r="G477" s="7" t="s">
        <v>841</v>
      </c>
      <c r="H477" s="7">
        <v>703.96800000000007</v>
      </c>
      <c r="I477" s="9">
        <f t="shared" si="15"/>
        <v>11</v>
      </c>
      <c r="J477">
        <f t="shared" si="16"/>
        <v>2</v>
      </c>
    </row>
    <row r="478" spans="2:10" ht="14.3" customHeight="1">
      <c r="B478" s="6">
        <v>475</v>
      </c>
      <c r="C478" s="7" t="s">
        <v>837</v>
      </c>
      <c r="D478" s="8">
        <v>41952</v>
      </c>
      <c r="E478" s="8">
        <v>41954</v>
      </c>
      <c r="F478" s="7" t="s">
        <v>838</v>
      </c>
      <c r="G478" s="7" t="s">
        <v>842</v>
      </c>
      <c r="H478" s="7">
        <v>92.52</v>
      </c>
      <c r="I478" s="9">
        <f t="shared" si="15"/>
        <v>11</v>
      </c>
      <c r="J478">
        <f t="shared" si="16"/>
        <v>2</v>
      </c>
    </row>
    <row r="479" spans="2:10" ht="14.3" customHeight="1">
      <c r="B479" s="6">
        <v>476</v>
      </c>
      <c r="C479" s="7" t="s">
        <v>837</v>
      </c>
      <c r="D479" s="8">
        <v>41952</v>
      </c>
      <c r="E479" s="8">
        <v>41954</v>
      </c>
      <c r="F479" s="7" t="s">
        <v>838</v>
      </c>
      <c r="G479" s="7" t="s">
        <v>843</v>
      </c>
      <c r="H479" s="7">
        <v>62.649999999999991</v>
      </c>
      <c r="I479" s="9">
        <f t="shared" si="15"/>
        <v>11</v>
      </c>
      <c r="J479">
        <f t="shared" si="16"/>
        <v>2</v>
      </c>
    </row>
    <row r="480" spans="2:10" ht="14.3" customHeight="1">
      <c r="B480" s="6">
        <v>477</v>
      </c>
      <c r="C480" s="7" t="s">
        <v>837</v>
      </c>
      <c r="D480" s="8">
        <v>41952</v>
      </c>
      <c r="E480" s="8">
        <v>41954</v>
      </c>
      <c r="F480" s="7" t="s">
        <v>838</v>
      </c>
      <c r="G480" s="7" t="s">
        <v>844</v>
      </c>
      <c r="H480" s="7">
        <v>94.85</v>
      </c>
      <c r="I480" s="9">
        <f t="shared" si="15"/>
        <v>11</v>
      </c>
      <c r="J480">
        <f t="shared" si="16"/>
        <v>2</v>
      </c>
    </row>
    <row r="481" spans="2:10" ht="14.3" customHeight="1">
      <c r="B481" s="6">
        <v>478</v>
      </c>
      <c r="C481" s="7" t="s">
        <v>845</v>
      </c>
      <c r="D481" s="8">
        <v>42563</v>
      </c>
      <c r="E481" s="8">
        <v>42570</v>
      </c>
      <c r="F481" s="7" t="s">
        <v>507</v>
      </c>
      <c r="G481" s="7" t="s">
        <v>846</v>
      </c>
      <c r="H481" s="7">
        <v>95.76</v>
      </c>
      <c r="I481" s="9">
        <f t="shared" si="15"/>
        <v>7</v>
      </c>
      <c r="J481">
        <f t="shared" si="16"/>
        <v>7</v>
      </c>
    </row>
    <row r="482" spans="2:10" ht="14.3" customHeight="1">
      <c r="B482" s="6">
        <v>479</v>
      </c>
      <c r="C482" s="7" t="s">
        <v>847</v>
      </c>
      <c r="D482" s="8">
        <v>42670</v>
      </c>
      <c r="E482" s="8">
        <v>42676</v>
      </c>
      <c r="F482" s="7" t="s">
        <v>848</v>
      </c>
      <c r="G482" s="7" t="s">
        <v>560</v>
      </c>
      <c r="H482" s="7">
        <v>40.200000000000003</v>
      </c>
      <c r="I482" s="9">
        <f t="shared" si="15"/>
        <v>10</v>
      </c>
      <c r="J482">
        <f t="shared" si="16"/>
        <v>6</v>
      </c>
    </row>
    <row r="483" spans="2:10" ht="14.3" customHeight="1">
      <c r="B483" s="6">
        <v>480</v>
      </c>
      <c r="C483" s="7" t="s">
        <v>849</v>
      </c>
      <c r="D483" s="8">
        <v>42547</v>
      </c>
      <c r="E483" s="8">
        <v>42553</v>
      </c>
      <c r="F483" s="7" t="s">
        <v>850</v>
      </c>
      <c r="G483" s="7" t="s">
        <v>851</v>
      </c>
      <c r="H483" s="7">
        <v>14.7</v>
      </c>
      <c r="I483" s="9">
        <f t="shared" si="15"/>
        <v>6</v>
      </c>
      <c r="J483">
        <f t="shared" si="16"/>
        <v>6</v>
      </c>
    </row>
    <row r="484" spans="2:10" ht="14.3" customHeight="1">
      <c r="B484" s="6">
        <v>481</v>
      </c>
      <c r="C484" s="7" t="s">
        <v>849</v>
      </c>
      <c r="D484" s="8">
        <v>42547</v>
      </c>
      <c r="E484" s="8">
        <v>42553</v>
      </c>
      <c r="F484" s="7" t="s">
        <v>850</v>
      </c>
      <c r="G484" s="7" t="s">
        <v>852</v>
      </c>
      <c r="H484" s="7">
        <v>704.25</v>
      </c>
      <c r="I484" s="9">
        <f t="shared" si="15"/>
        <v>6</v>
      </c>
      <c r="J484">
        <f t="shared" si="16"/>
        <v>6</v>
      </c>
    </row>
    <row r="485" spans="2:10" ht="14.3" customHeight="1">
      <c r="B485" s="6">
        <v>482</v>
      </c>
      <c r="C485" s="7" t="s">
        <v>853</v>
      </c>
      <c r="D485" s="8">
        <v>41918</v>
      </c>
      <c r="E485" s="8">
        <v>41922</v>
      </c>
      <c r="F485" s="7" t="s">
        <v>854</v>
      </c>
      <c r="G485" s="7" t="s">
        <v>855</v>
      </c>
      <c r="H485" s="7">
        <v>9.09</v>
      </c>
      <c r="I485" s="9">
        <f t="shared" si="15"/>
        <v>10</v>
      </c>
      <c r="J485">
        <f t="shared" si="16"/>
        <v>4</v>
      </c>
    </row>
    <row r="486" spans="2:10" ht="14.3" customHeight="1">
      <c r="B486" s="6">
        <v>483</v>
      </c>
      <c r="C486" s="7" t="s">
        <v>856</v>
      </c>
      <c r="D486" s="8">
        <v>41842</v>
      </c>
      <c r="E486" s="8">
        <v>41847</v>
      </c>
      <c r="F486" s="7" t="s">
        <v>857</v>
      </c>
      <c r="G486" s="7" t="s">
        <v>168</v>
      </c>
      <c r="H486" s="7">
        <v>5.96</v>
      </c>
      <c r="I486" s="9">
        <f t="shared" si="15"/>
        <v>7</v>
      </c>
      <c r="J486">
        <f t="shared" si="16"/>
        <v>5</v>
      </c>
    </row>
    <row r="487" spans="2:10" ht="14.3" customHeight="1">
      <c r="B487" s="6">
        <v>484</v>
      </c>
      <c r="C487" s="7" t="s">
        <v>856</v>
      </c>
      <c r="D487" s="8">
        <v>41842</v>
      </c>
      <c r="E487" s="8">
        <v>41847</v>
      </c>
      <c r="F487" s="7" t="s">
        <v>857</v>
      </c>
      <c r="G487" s="7" t="s">
        <v>858</v>
      </c>
      <c r="H487" s="7">
        <v>159.97999999999999</v>
      </c>
      <c r="I487" s="9">
        <f t="shared" si="15"/>
        <v>7</v>
      </c>
      <c r="J487">
        <f t="shared" si="16"/>
        <v>5</v>
      </c>
    </row>
    <row r="488" spans="2:10" ht="14.3" customHeight="1">
      <c r="B488" s="6">
        <v>485</v>
      </c>
      <c r="C488" s="7" t="s">
        <v>859</v>
      </c>
      <c r="D488" s="8">
        <v>42896</v>
      </c>
      <c r="E488" s="8">
        <v>42899</v>
      </c>
      <c r="F488" s="7" t="s">
        <v>860</v>
      </c>
      <c r="G488" s="7" t="s">
        <v>861</v>
      </c>
      <c r="H488" s="7">
        <v>29.6</v>
      </c>
      <c r="I488" s="9">
        <f t="shared" si="15"/>
        <v>6</v>
      </c>
      <c r="J488">
        <f t="shared" si="16"/>
        <v>3</v>
      </c>
    </row>
    <row r="489" spans="2:10" ht="14.3" customHeight="1">
      <c r="B489" s="6">
        <v>486</v>
      </c>
      <c r="C489" s="7" t="s">
        <v>859</v>
      </c>
      <c r="D489" s="8">
        <v>42896</v>
      </c>
      <c r="E489" s="8">
        <v>42899</v>
      </c>
      <c r="F489" s="7" t="s">
        <v>860</v>
      </c>
      <c r="G489" s="7" t="s">
        <v>862</v>
      </c>
      <c r="H489" s="7">
        <v>514.16499999999996</v>
      </c>
      <c r="I489" s="9">
        <f t="shared" si="15"/>
        <v>6</v>
      </c>
      <c r="J489">
        <f t="shared" si="16"/>
        <v>3</v>
      </c>
    </row>
    <row r="490" spans="2:10" ht="14.3" customHeight="1">
      <c r="B490" s="6">
        <v>487</v>
      </c>
      <c r="C490" s="7" t="s">
        <v>859</v>
      </c>
      <c r="D490" s="8">
        <v>42896</v>
      </c>
      <c r="E490" s="8">
        <v>42899</v>
      </c>
      <c r="F490" s="7" t="s">
        <v>860</v>
      </c>
      <c r="G490" s="7" t="s">
        <v>863</v>
      </c>
      <c r="H490" s="7">
        <v>279.95999999999998</v>
      </c>
      <c r="I490" s="9">
        <f t="shared" si="15"/>
        <v>6</v>
      </c>
      <c r="J490">
        <f t="shared" si="16"/>
        <v>3</v>
      </c>
    </row>
    <row r="491" spans="2:10" ht="14.3" customHeight="1">
      <c r="B491" s="6">
        <v>488</v>
      </c>
      <c r="C491" s="7" t="s">
        <v>864</v>
      </c>
      <c r="D491" s="8">
        <v>41941</v>
      </c>
      <c r="E491" s="8">
        <v>41943</v>
      </c>
      <c r="F491" s="7" t="s">
        <v>865</v>
      </c>
      <c r="G491" s="7" t="s">
        <v>866</v>
      </c>
      <c r="H491" s="7">
        <v>2735.9520000000002</v>
      </c>
      <c r="I491" s="9">
        <f t="shared" si="15"/>
        <v>10</v>
      </c>
      <c r="J491">
        <f t="shared" si="16"/>
        <v>2</v>
      </c>
    </row>
    <row r="492" spans="2:10" ht="14.3" customHeight="1">
      <c r="B492" s="6">
        <v>489</v>
      </c>
      <c r="C492" s="7" t="s">
        <v>867</v>
      </c>
      <c r="D492" s="8">
        <v>41799</v>
      </c>
      <c r="E492" s="8">
        <v>41803</v>
      </c>
      <c r="F492" s="7" t="s">
        <v>868</v>
      </c>
      <c r="G492" s="7" t="s">
        <v>869</v>
      </c>
      <c r="H492" s="7">
        <v>7.9920000000000009</v>
      </c>
      <c r="I492" s="9">
        <f t="shared" si="15"/>
        <v>6</v>
      </c>
      <c r="J492">
        <f t="shared" si="16"/>
        <v>4</v>
      </c>
    </row>
    <row r="493" spans="2:10" ht="14.3" customHeight="1">
      <c r="B493" s="6">
        <v>490</v>
      </c>
      <c r="C493" s="7" t="s">
        <v>867</v>
      </c>
      <c r="D493" s="8">
        <v>41799</v>
      </c>
      <c r="E493" s="8">
        <v>41803</v>
      </c>
      <c r="F493" s="7" t="s">
        <v>868</v>
      </c>
      <c r="G493" s="7" t="s">
        <v>870</v>
      </c>
      <c r="H493" s="7">
        <v>63.984000000000009</v>
      </c>
      <c r="I493" s="9">
        <f t="shared" si="15"/>
        <v>6</v>
      </c>
      <c r="J493">
        <f t="shared" si="16"/>
        <v>4</v>
      </c>
    </row>
    <row r="494" spans="2:10" ht="14.3" customHeight="1">
      <c r="B494" s="6">
        <v>491</v>
      </c>
      <c r="C494" s="7" t="s">
        <v>867</v>
      </c>
      <c r="D494" s="8">
        <v>41799</v>
      </c>
      <c r="E494" s="8">
        <v>41803</v>
      </c>
      <c r="F494" s="7" t="s">
        <v>868</v>
      </c>
      <c r="G494" s="7" t="s">
        <v>803</v>
      </c>
      <c r="H494" s="7">
        <v>70.367999999999995</v>
      </c>
      <c r="I494" s="9">
        <f t="shared" si="15"/>
        <v>6</v>
      </c>
      <c r="J494">
        <f t="shared" si="16"/>
        <v>4</v>
      </c>
    </row>
    <row r="495" spans="2:10" ht="14.3" customHeight="1">
      <c r="B495" s="6">
        <v>492</v>
      </c>
      <c r="C495" s="7" t="s">
        <v>871</v>
      </c>
      <c r="D495" s="8">
        <v>41896</v>
      </c>
      <c r="E495" s="8">
        <v>41901</v>
      </c>
      <c r="F495" s="7" t="s">
        <v>872</v>
      </c>
      <c r="G495" s="7" t="s">
        <v>873</v>
      </c>
      <c r="H495" s="7">
        <v>449.15</v>
      </c>
      <c r="I495" s="9">
        <f t="shared" si="15"/>
        <v>9</v>
      </c>
      <c r="J495">
        <f t="shared" si="16"/>
        <v>5</v>
      </c>
    </row>
    <row r="496" spans="2:10" ht="14.3" customHeight="1">
      <c r="B496" s="6">
        <v>493</v>
      </c>
      <c r="C496" s="7" t="s">
        <v>871</v>
      </c>
      <c r="D496" s="8">
        <v>41896</v>
      </c>
      <c r="E496" s="8">
        <v>41901</v>
      </c>
      <c r="F496" s="7" t="s">
        <v>872</v>
      </c>
      <c r="G496" s="7" t="s">
        <v>874</v>
      </c>
      <c r="H496" s="7">
        <v>11.07</v>
      </c>
      <c r="I496" s="9">
        <f t="shared" si="15"/>
        <v>9</v>
      </c>
      <c r="J496">
        <f t="shared" si="16"/>
        <v>5</v>
      </c>
    </row>
    <row r="497" spans="2:10" ht="14.3" customHeight="1">
      <c r="B497" s="6">
        <v>494</v>
      </c>
      <c r="C497" s="7" t="s">
        <v>875</v>
      </c>
      <c r="D497" s="8">
        <v>42499</v>
      </c>
      <c r="E497" s="8">
        <v>42504</v>
      </c>
      <c r="F497" s="7" t="s">
        <v>876</v>
      </c>
      <c r="G497" s="7" t="s">
        <v>877</v>
      </c>
      <c r="H497" s="7">
        <v>93.98</v>
      </c>
      <c r="I497" s="9">
        <f t="shared" si="15"/>
        <v>5</v>
      </c>
      <c r="J497">
        <f t="shared" si="16"/>
        <v>5</v>
      </c>
    </row>
    <row r="498" spans="2:10" ht="14.3" customHeight="1">
      <c r="B498" s="6">
        <v>495</v>
      </c>
      <c r="C498" s="7" t="s">
        <v>878</v>
      </c>
      <c r="D498" s="8">
        <v>42447</v>
      </c>
      <c r="E498" s="8">
        <v>42450</v>
      </c>
      <c r="F498" s="7" t="s">
        <v>879</v>
      </c>
      <c r="G498" s="7" t="s">
        <v>880</v>
      </c>
      <c r="H498" s="7">
        <v>189.88200000000001</v>
      </c>
      <c r="I498" s="9">
        <f t="shared" si="15"/>
        <v>3</v>
      </c>
      <c r="J498">
        <f t="shared" si="16"/>
        <v>3</v>
      </c>
    </row>
    <row r="499" spans="2:10" ht="14.3" customHeight="1">
      <c r="B499" s="6">
        <v>496</v>
      </c>
      <c r="C499" s="7" t="s">
        <v>881</v>
      </c>
      <c r="D499" s="8">
        <v>42365</v>
      </c>
      <c r="E499" s="8">
        <v>42369</v>
      </c>
      <c r="F499" s="7" t="s">
        <v>882</v>
      </c>
      <c r="G499" s="7" t="s">
        <v>883</v>
      </c>
      <c r="H499" s="7">
        <v>105.42</v>
      </c>
      <c r="I499" s="9">
        <f t="shared" si="15"/>
        <v>12</v>
      </c>
      <c r="J499">
        <f t="shared" si="16"/>
        <v>4</v>
      </c>
    </row>
    <row r="500" spans="2:10" ht="14.3" customHeight="1">
      <c r="B500" s="6">
        <v>497</v>
      </c>
      <c r="C500" s="7" t="s">
        <v>884</v>
      </c>
      <c r="D500" s="8">
        <v>42576</v>
      </c>
      <c r="E500" s="8">
        <v>42582</v>
      </c>
      <c r="F500" s="7" t="s">
        <v>813</v>
      </c>
      <c r="G500" s="7" t="s">
        <v>885</v>
      </c>
      <c r="H500" s="7">
        <v>119.61600000000001</v>
      </c>
      <c r="I500" s="9">
        <f t="shared" si="15"/>
        <v>7</v>
      </c>
      <c r="J500">
        <f t="shared" si="16"/>
        <v>6</v>
      </c>
    </row>
    <row r="501" spans="2:10" ht="14.3" customHeight="1">
      <c r="B501" s="6">
        <v>498</v>
      </c>
      <c r="C501" s="7" t="s">
        <v>884</v>
      </c>
      <c r="D501" s="8">
        <v>42576</v>
      </c>
      <c r="E501" s="8">
        <v>42582</v>
      </c>
      <c r="F501" s="7" t="s">
        <v>813</v>
      </c>
      <c r="G501" s="7" t="s">
        <v>886</v>
      </c>
      <c r="H501" s="7">
        <v>255.76</v>
      </c>
      <c r="I501" s="9">
        <f t="shared" si="15"/>
        <v>7</v>
      </c>
      <c r="J501">
        <f t="shared" si="16"/>
        <v>6</v>
      </c>
    </row>
    <row r="502" spans="2:10" ht="14.3" customHeight="1">
      <c r="B502" s="6">
        <v>499</v>
      </c>
      <c r="C502" s="7" t="s">
        <v>884</v>
      </c>
      <c r="D502" s="8">
        <v>42576</v>
      </c>
      <c r="E502" s="8">
        <v>42582</v>
      </c>
      <c r="F502" s="7" t="s">
        <v>813</v>
      </c>
      <c r="G502" s="7" t="s">
        <v>588</v>
      </c>
      <c r="H502" s="7">
        <v>241.56799999999998</v>
      </c>
      <c r="I502" s="9">
        <f t="shared" si="15"/>
        <v>7</v>
      </c>
      <c r="J502">
        <f t="shared" si="16"/>
        <v>6</v>
      </c>
    </row>
    <row r="503" spans="2:10" ht="14.3" customHeight="1">
      <c r="B503" s="6">
        <v>500</v>
      </c>
      <c r="C503" s="7" t="s">
        <v>884</v>
      </c>
      <c r="D503" s="8">
        <v>42576</v>
      </c>
      <c r="E503" s="8">
        <v>42582</v>
      </c>
      <c r="F503" s="7" t="s">
        <v>813</v>
      </c>
      <c r="G503" s="7"/>
      <c r="H503" s="7"/>
      <c r="I503" s="9">
        <f t="shared" si="15"/>
        <v>7</v>
      </c>
      <c r="J503">
        <f t="shared" si="16"/>
        <v>6</v>
      </c>
    </row>
    <row r="504" spans="2:10" ht="14.3" customHeight="1">
      <c r="B504" s="6"/>
      <c r="C504" s="7"/>
      <c r="D504" s="7"/>
      <c r="E504" s="7"/>
      <c r="F504" s="7"/>
      <c r="G504" s="7"/>
      <c r="H504" s="7"/>
    </row>
    <row r="505" spans="2:10" ht="14.3" customHeight="1">
      <c r="B505" s="6"/>
      <c r="C505" s="7"/>
      <c r="D505" s="7"/>
      <c r="E505" s="7"/>
      <c r="F505" s="7"/>
      <c r="G505" s="7"/>
      <c r="H505" s="7"/>
    </row>
    <row r="506" spans="2:10" ht="14.3" customHeight="1">
      <c r="B506" s="6"/>
      <c r="C506" s="7"/>
      <c r="D506" s="7"/>
      <c r="E506" s="7"/>
      <c r="F506" s="7"/>
      <c r="G506" s="7"/>
      <c r="H506" s="7"/>
    </row>
    <row r="507" spans="2:10" ht="14.3" customHeight="1">
      <c r="B507" s="6"/>
      <c r="C507" s="7"/>
      <c r="D507" s="7"/>
      <c r="E507" s="7"/>
      <c r="F507" s="7"/>
      <c r="G507" s="7"/>
      <c r="H507" s="7"/>
    </row>
    <row r="508" spans="2:10" ht="14.3" customHeight="1">
      <c r="B508" s="6"/>
      <c r="C508" s="7"/>
      <c r="D508" s="7"/>
      <c r="E508" s="7"/>
      <c r="F508" s="7"/>
      <c r="G508" s="7"/>
      <c r="H508" s="7"/>
    </row>
    <row r="509" spans="2:10" ht="14.3" customHeight="1">
      <c r="B509" s="6"/>
      <c r="C509" s="7"/>
      <c r="D509" s="7"/>
      <c r="E509" s="7"/>
      <c r="F509" s="7"/>
      <c r="G509" s="7"/>
      <c r="H509" s="7"/>
    </row>
    <row r="510" spans="2:10" ht="14.3" customHeight="1">
      <c r="B510" s="6"/>
      <c r="C510" s="7"/>
      <c r="D510" s="7"/>
      <c r="E510" s="7"/>
      <c r="F510" s="7"/>
      <c r="G510" s="7"/>
      <c r="H510" s="7"/>
    </row>
    <row r="511" spans="2:10" ht="14.3" customHeight="1">
      <c r="B511" s="6"/>
      <c r="C511" s="7"/>
      <c r="D511" s="7"/>
      <c r="E511" s="7"/>
      <c r="F511" s="7"/>
      <c r="G511" s="7"/>
      <c r="H511" s="7"/>
    </row>
    <row r="512" spans="2:10" ht="14.3" customHeight="1">
      <c r="B512" s="6"/>
      <c r="C512" s="7"/>
      <c r="D512" s="7"/>
      <c r="E512" s="7"/>
      <c r="F512" s="7"/>
      <c r="G512" s="7"/>
      <c r="H512" s="7"/>
    </row>
    <row r="513" spans="2:8" ht="14.3" customHeight="1">
      <c r="B513" s="6"/>
      <c r="C513" s="7"/>
      <c r="D513" s="7"/>
      <c r="E513" s="7"/>
      <c r="F513" s="7"/>
      <c r="G513" s="7"/>
      <c r="H513" s="7"/>
    </row>
    <row r="514" spans="2:8" ht="14.3" customHeight="1">
      <c r="B514" s="6"/>
      <c r="C514" s="7"/>
      <c r="D514" s="7"/>
      <c r="E514" s="7"/>
      <c r="F514" s="7"/>
      <c r="G514" s="7"/>
      <c r="H514" s="7"/>
    </row>
    <row r="515" spans="2:8" ht="14.3" customHeight="1">
      <c r="B515" s="6"/>
      <c r="C515" s="7"/>
      <c r="D515" s="7"/>
      <c r="E515" s="7"/>
      <c r="F515" s="7"/>
      <c r="G515" s="7"/>
      <c r="H515" s="7"/>
    </row>
    <row r="516" spans="2:8" ht="14.3" customHeight="1">
      <c r="B516" s="6"/>
      <c r="C516" s="7"/>
      <c r="D516" s="7"/>
      <c r="E516" s="7"/>
      <c r="F516" s="7"/>
      <c r="G516" s="7"/>
      <c r="H516" s="7"/>
    </row>
    <row r="517" spans="2:8" ht="14.3" customHeight="1">
      <c r="B517" s="6"/>
      <c r="C517" s="7"/>
      <c r="D517" s="7"/>
      <c r="E517" s="7"/>
      <c r="F517" s="7"/>
      <c r="G517" s="7"/>
      <c r="H517" s="7"/>
    </row>
    <row r="518" spans="2:8" ht="14.3" customHeight="1">
      <c r="B518" s="6"/>
      <c r="C518" s="7"/>
      <c r="D518" s="7"/>
      <c r="E518" s="7"/>
      <c r="F518" s="7"/>
      <c r="G518" s="7"/>
      <c r="H518" s="7"/>
    </row>
    <row r="519" spans="2:8" ht="14.3" customHeight="1">
      <c r="B519" s="6"/>
      <c r="C519" s="7"/>
      <c r="D519" s="7"/>
      <c r="E519" s="7"/>
      <c r="F519" s="7"/>
      <c r="G519" s="7"/>
      <c r="H519" s="7"/>
    </row>
    <row r="520" spans="2:8" ht="14.3" customHeight="1">
      <c r="B520" s="6"/>
      <c r="C520" s="7"/>
      <c r="D520" s="7"/>
      <c r="E520" s="7"/>
      <c r="F520" s="7"/>
      <c r="G520" s="7"/>
      <c r="H520" s="7"/>
    </row>
    <row r="521" spans="2:8" ht="14.3" customHeight="1">
      <c r="B521" s="6"/>
      <c r="C521" s="7"/>
      <c r="D521" s="7"/>
      <c r="E521" s="7"/>
      <c r="F521" s="7"/>
      <c r="G521" s="7"/>
      <c r="H521" s="7"/>
    </row>
    <row r="522" spans="2:8" ht="14.3" customHeight="1">
      <c r="B522" s="6"/>
      <c r="C522" s="7"/>
      <c r="D522" s="7"/>
      <c r="E522" s="7"/>
      <c r="F522" s="7"/>
      <c r="G522" s="7"/>
      <c r="H522" s="7"/>
    </row>
    <row r="523" spans="2:8" ht="14.3" customHeight="1">
      <c r="B523" s="6"/>
      <c r="C523" s="7"/>
      <c r="D523" s="7"/>
      <c r="E523" s="7"/>
      <c r="F523" s="7"/>
      <c r="G523" s="7"/>
      <c r="H523" s="7"/>
    </row>
    <row r="524" spans="2:8" ht="14.3" customHeight="1">
      <c r="B524" s="6"/>
      <c r="C524" s="7"/>
      <c r="D524" s="7"/>
      <c r="E524" s="7"/>
      <c r="F524" s="7"/>
      <c r="G524" s="7"/>
      <c r="H524" s="7"/>
    </row>
    <row r="525" spans="2:8" ht="14.3" customHeight="1">
      <c r="B525" s="6"/>
      <c r="C525" s="7"/>
      <c r="D525" s="7"/>
      <c r="E525" s="7"/>
      <c r="F525" s="7"/>
      <c r="G525" s="7"/>
      <c r="H525" s="7"/>
    </row>
    <row r="526" spans="2:8" ht="14.3" customHeight="1">
      <c r="B526" s="6"/>
      <c r="C526" s="7"/>
      <c r="D526" s="7"/>
      <c r="E526" s="7"/>
      <c r="F526" s="7"/>
      <c r="G526" s="7"/>
      <c r="H526" s="7"/>
    </row>
    <row r="527" spans="2:8" ht="14.3" customHeight="1">
      <c r="B527" s="6"/>
      <c r="C527" s="7"/>
      <c r="D527" s="7"/>
      <c r="E527" s="7"/>
      <c r="F527" s="7"/>
      <c r="G527" s="7"/>
      <c r="H527" s="7"/>
    </row>
    <row r="528" spans="2:8" ht="14.3" customHeight="1">
      <c r="B528" s="6"/>
      <c r="C528" s="7"/>
      <c r="D528" s="7"/>
      <c r="E528" s="7"/>
      <c r="F528" s="7"/>
      <c r="G528" s="7"/>
      <c r="H528" s="7"/>
    </row>
    <row r="529" spans="2:8" ht="14.3" customHeight="1">
      <c r="B529" s="6"/>
      <c r="C529" s="7"/>
      <c r="D529" s="7"/>
      <c r="E529" s="7"/>
      <c r="F529" s="7"/>
      <c r="G529" s="7"/>
      <c r="H529" s="7"/>
    </row>
    <row r="530" spans="2:8" ht="14.3" customHeight="1">
      <c r="B530" s="6"/>
      <c r="C530" s="7"/>
      <c r="D530" s="7"/>
      <c r="E530" s="7"/>
      <c r="F530" s="7"/>
      <c r="G530" s="7"/>
      <c r="H530" s="7"/>
    </row>
    <row r="531" spans="2:8" ht="14.3" customHeight="1">
      <c r="B531" s="6"/>
      <c r="C531" s="7"/>
      <c r="D531" s="7"/>
      <c r="E531" s="7"/>
      <c r="F531" s="7"/>
      <c r="G531" s="7"/>
      <c r="H531" s="7"/>
    </row>
    <row r="532" spans="2:8" ht="14.3" customHeight="1">
      <c r="B532" s="6"/>
      <c r="C532" s="7"/>
      <c r="D532" s="7"/>
      <c r="E532" s="7"/>
      <c r="F532" s="7"/>
      <c r="G532" s="7"/>
      <c r="H532" s="7"/>
    </row>
    <row r="533" spans="2:8" ht="14.3" customHeight="1">
      <c r="B533" s="6"/>
      <c r="C533" s="7"/>
      <c r="D533" s="7"/>
      <c r="E533" s="7"/>
      <c r="F533" s="7"/>
      <c r="G533" s="7"/>
      <c r="H533" s="7"/>
    </row>
    <row r="534" spans="2:8" ht="14.3" customHeight="1">
      <c r="B534" s="6"/>
      <c r="C534" s="7"/>
      <c r="D534" s="7"/>
      <c r="E534" s="7"/>
      <c r="F534" s="7"/>
      <c r="G534" s="7"/>
      <c r="H534" s="7"/>
    </row>
    <row r="535" spans="2:8" ht="14.3" customHeight="1">
      <c r="B535" s="6"/>
      <c r="C535" s="7"/>
      <c r="D535" s="7"/>
      <c r="E535" s="7"/>
      <c r="F535" s="7"/>
      <c r="G535" s="7"/>
      <c r="H535" s="7"/>
    </row>
    <row r="536" spans="2:8" ht="14.3" customHeight="1">
      <c r="B536" s="6"/>
      <c r="C536" s="7"/>
      <c r="D536" s="7"/>
      <c r="E536" s="7"/>
      <c r="F536" s="7"/>
      <c r="G536" s="7"/>
      <c r="H536" s="7"/>
    </row>
    <row r="537" spans="2:8" ht="14.3" customHeight="1">
      <c r="B537" s="6"/>
      <c r="C537" s="7"/>
      <c r="D537" s="7"/>
      <c r="E537" s="7"/>
      <c r="F537" s="7"/>
      <c r="G537" s="7"/>
      <c r="H537" s="7"/>
    </row>
    <row r="538" spans="2:8" ht="14.3" customHeight="1">
      <c r="B538" s="6"/>
      <c r="C538" s="7"/>
      <c r="D538" s="7"/>
      <c r="E538" s="7"/>
      <c r="F538" s="7"/>
      <c r="G538" s="7"/>
      <c r="H538" s="7"/>
    </row>
    <row r="539" spans="2:8" ht="14.3" customHeight="1">
      <c r="B539" s="6"/>
      <c r="C539" s="7"/>
      <c r="D539" s="7"/>
      <c r="E539" s="7"/>
      <c r="F539" s="7"/>
      <c r="G539" s="7"/>
      <c r="H539" s="7"/>
    </row>
    <row r="540" spans="2:8" ht="14.3" customHeight="1">
      <c r="B540" s="6"/>
      <c r="C540" s="7"/>
      <c r="D540" s="7"/>
      <c r="E540" s="7"/>
      <c r="F540" s="7"/>
      <c r="G540" s="7"/>
      <c r="H540" s="7"/>
    </row>
    <row r="541" spans="2:8" ht="14.3" customHeight="1">
      <c r="B541" s="6"/>
      <c r="C541" s="7"/>
      <c r="D541" s="7"/>
      <c r="E541" s="7"/>
      <c r="F541" s="7"/>
      <c r="G541" s="7"/>
      <c r="H541" s="7"/>
    </row>
    <row r="542" spans="2:8" ht="14.3" customHeight="1">
      <c r="B542" s="6"/>
      <c r="C542" s="7"/>
      <c r="D542" s="7"/>
      <c r="E542" s="7"/>
      <c r="F542" s="7"/>
      <c r="G542" s="7"/>
      <c r="H542" s="7"/>
    </row>
    <row r="543" spans="2:8" ht="14.3" customHeight="1">
      <c r="B543" s="6"/>
      <c r="C543" s="7"/>
      <c r="D543" s="7"/>
      <c r="E543" s="7"/>
      <c r="F543" s="7"/>
      <c r="G543" s="7"/>
      <c r="H543" s="7"/>
    </row>
    <row r="544" spans="2:8" ht="14.3" customHeight="1">
      <c r="B544" s="6"/>
      <c r="C544" s="7"/>
      <c r="D544" s="7"/>
      <c r="E544" s="7"/>
      <c r="F544" s="7"/>
      <c r="G544" s="7"/>
      <c r="H544" s="7"/>
    </row>
    <row r="545" spans="2:8" ht="14.3" customHeight="1">
      <c r="B545" s="6"/>
      <c r="C545" s="7"/>
      <c r="D545" s="7"/>
      <c r="E545" s="7"/>
      <c r="F545" s="7"/>
      <c r="G545" s="7"/>
      <c r="H545" s="7"/>
    </row>
    <row r="546" spans="2:8" ht="14.3" customHeight="1">
      <c r="B546" s="6"/>
      <c r="C546" s="7"/>
      <c r="D546" s="7"/>
      <c r="E546" s="7"/>
      <c r="F546" s="7"/>
      <c r="G546" s="7"/>
      <c r="H546" s="7"/>
    </row>
    <row r="547" spans="2:8" ht="14.3" customHeight="1">
      <c r="B547" s="6"/>
      <c r="C547" s="7"/>
      <c r="D547" s="7"/>
      <c r="E547" s="7"/>
      <c r="F547" s="7"/>
      <c r="G547" s="7"/>
      <c r="H547" s="7"/>
    </row>
    <row r="548" spans="2:8" ht="14.3" customHeight="1">
      <c r="B548" s="6"/>
      <c r="C548" s="7"/>
      <c r="D548" s="7"/>
      <c r="E548" s="7"/>
      <c r="F548" s="7"/>
      <c r="G548" s="7"/>
      <c r="H548" s="7"/>
    </row>
    <row r="549" spans="2:8" ht="14.3" customHeight="1">
      <c r="B549" s="6"/>
      <c r="C549" s="7"/>
      <c r="D549" s="7"/>
      <c r="E549" s="7"/>
      <c r="F549" s="7"/>
      <c r="G549" s="7"/>
      <c r="H549" s="7"/>
    </row>
    <row r="550" spans="2:8" ht="14.3" customHeight="1">
      <c r="B550" s="6"/>
      <c r="C550" s="7"/>
      <c r="D550" s="7"/>
      <c r="E550" s="7"/>
      <c r="F550" s="7"/>
      <c r="G550" s="7"/>
      <c r="H550" s="7"/>
    </row>
    <row r="551" spans="2:8" ht="14.3" customHeight="1">
      <c r="B551" s="6"/>
      <c r="C551" s="7"/>
      <c r="D551" s="7"/>
      <c r="E551" s="7"/>
      <c r="F551" s="7"/>
      <c r="G551" s="7"/>
      <c r="H551" s="7"/>
    </row>
    <row r="552" spans="2:8" ht="14.3" customHeight="1">
      <c r="B552" s="6"/>
      <c r="C552" s="7"/>
      <c r="D552" s="7"/>
      <c r="E552" s="7"/>
      <c r="F552" s="7"/>
      <c r="G552" s="7"/>
      <c r="H552" s="7"/>
    </row>
    <row r="553" spans="2:8" ht="14.3" customHeight="1">
      <c r="B553" s="6"/>
      <c r="C553" s="7"/>
      <c r="D553" s="7"/>
      <c r="E553" s="7"/>
      <c r="F553" s="7"/>
      <c r="G553" s="7"/>
      <c r="H553" s="7"/>
    </row>
    <row r="554" spans="2:8" ht="14.3" customHeight="1">
      <c r="B554" s="6"/>
      <c r="C554" s="7"/>
      <c r="D554" s="7"/>
      <c r="E554" s="7"/>
      <c r="F554" s="7"/>
      <c r="G554" s="7"/>
      <c r="H554" s="7"/>
    </row>
    <row r="555" spans="2:8" ht="14.3" customHeight="1">
      <c r="B555" s="6"/>
      <c r="C555" s="7"/>
      <c r="D555" s="7"/>
      <c r="E555" s="7"/>
      <c r="F555" s="7"/>
      <c r="G555" s="7"/>
      <c r="H555" s="7"/>
    </row>
    <row r="556" spans="2:8" ht="14.3" customHeight="1">
      <c r="B556" s="6"/>
      <c r="C556" s="7"/>
      <c r="D556" s="7"/>
      <c r="E556" s="7"/>
      <c r="F556" s="7"/>
      <c r="G556" s="7"/>
      <c r="H556" s="7"/>
    </row>
    <row r="557" spans="2:8" ht="14.3" customHeight="1">
      <c r="B557" s="6"/>
      <c r="C557" s="7"/>
      <c r="D557" s="7"/>
      <c r="E557" s="7"/>
      <c r="F557" s="7"/>
      <c r="G557" s="7"/>
      <c r="H557" s="7"/>
    </row>
    <row r="558" spans="2:8" ht="14.3" customHeight="1">
      <c r="B558" s="6"/>
      <c r="C558" s="7"/>
      <c r="D558" s="7"/>
      <c r="E558" s="7"/>
      <c r="F558" s="7"/>
      <c r="G558" s="7"/>
      <c r="H558" s="7"/>
    </row>
    <row r="559" spans="2:8" ht="14.3" customHeight="1">
      <c r="B559" s="6"/>
      <c r="C559" s="7"/>
      <c r="D559" s="7"/>
      <c r="E559" s="7"/>
      <c r="F559" s="7"/>
      <c r="G559" s="7"/>
      <c r="H559" s="7"/>
    </row>
    <row r="560" spans="2:8" ht="14.3" customHeight="1">
      <c r="B560" s="6"/>
      <c r="C560" s="7"/>
      <c r="D560" s="7"/>
      <c r="E560" s="7"/>
      <c r="F560" s="7"/>
      <c r="G560" s="7"/>
      <c r="H560" s="7"/>
    </row>
    <row r="561" spans="2:8" ht="14.3" customHeight="1">
      <c r="B561" s="6"/>
      <c r="C561" s="7"/>
      <c r="D561" s="7"/>
      <c r="E561" s="7"/>
      <c r="F561" s="7"/>
      <c r="G561" s="7"/>
      <c r="H561" s="7"/>
    </row>
    <row r="562" spans="2:8" ht="14.3" customHeight="1">
      <c r="B562" s="6"/>
      <c r="C562" s="7"/>
      <c r="D562" s="7"/>
      <c r="E562" s="7"/>
      <c r="F562" s="7"/>
      <c r="G562" s="7"/>
      <c r="H562" s="7"/>
    </row>
    <row r="563" spans="2:8" ht="14.3" customHeight="1">
      <c r="B563" s="6"/>
      <c r="C563" s="7"/>
      <c r="D563" s="7"/>
      <c r="E563" s="7"/>
      <c r="F563" s="7"/>
      <c r="G563" s="7"/>
      <c r="H563" s="7"/>
    </row>
    <row r="564" spans="2:8" ht="14.3" customHeight="1">
      <c r="B564" s="6"/>
      <c r="C564" s="7"/>
      <c r="D564" s="7"/>
      <c r="E564" s="7"/>
      <c r="F564" s="7"/>
      <c r="G564" s="7"/>
      <c r="H564" s="7"/>
    </row>
    <row r="565" spans="2:8" ht="14.3" customHeight="1">
      <c r="B565" s="6"/>
      <c r="C565" s="7"/>
      <c r="D565" s="7"/>
      <c r="E565" s="7"/>
      <c r="F565" s="7"/>
      <c r="G565" s="7"/>
      <c r="H565" s="7"/>
    </row>
    <row r="566" spans="2:8" ht="14.3" customHeight="1">
      <c r="B566" s="6"/>
      <c r="C566" s="7"/>
      <c r="D566" s="7"/>
      <c r="E566" s="7"/>
      <c r="F566" s="7"/>
      <c r="G566" s="7"/>
      <c r="H566" s="7"/>
    </row>
    <row r="567" spans="2:8" ht="14.3" customHeight="1">
      <c r="B567" s="6"/>
      <c r="C567" s="7"/>
      <c r="D567" s="7"/>
      <c r="E567" s="7"/>
      <c r="F567" s="7"/>
      <c r="G567" s="7"/>
      <c r="H567" s="7"/>
    </row>
    <row r="568" spans="2:8" ht="14.3" customHeight="1">
      <c r="B568" s="6"/>
      <c r="C568" s="7"/>
      <c r="D568" s="7"/>
      <c r="E568" s="7"/>
      <c r="F568" s="7"/>
      <c r="G568" s="7"/>
      <c r="H568" s="7"/>
    </row>
    <row r="569" spans="2:8" ht="14.3" customHeight="1">
      <c r="B569" s="6"/>
      <c r="C569" s="7"/>
      <c r="D569" s="7"/>
      <c r="E569" s="7"/>
      <c r="F569" s="7"/>
      <c r="G569" s="7"/>
      <c r="H569" s="7"/>
    </row>
    <row r="570" spans="2:8" ht="14.3" customHeight="1">
      <c r="B570" s="6"/>
      <c r="C570" s="7"/>
      <c r="D570" s="7"/>
      <c r="E570" s="7"/>
      <c r="F570" s="7"/>
      <c r="G570" s="7"/>
      <c r="H570" s="7"/>
    </row>
    <row r="571" spans="2:8" ht="14.3" customHeight="1">
      <c r="B571" s="6"/>
      <c r="C571" s="7"/>
      <c r="D571" s="7"/>
      <c r="E571" s="7"/>
      <c r="F571" s="7"/>
      <c r="G571" s="7"/>
      <c r="H571" s="7"/>
    </row>
    <row r="572" spans="2:8" ht="14.3" customHeight="1">
      <c r="B572" s="6"/>
      <c r="C572" s="7"/>
      <c r="D572" s="7"/>
      <c r="E572" s="7"/>
      <c r="F572" s="7"/>
      <c r="G572" s="7"/>
      <c r="H572" s="7"/>
    </row>
    <row r="573" spans="2:8" ht="14.3" customHeight="1">
      <c r="B573" s="6"/>
      <c r="C573" s="7"/>
      <c r="D573" s="7"/>
      <c r="E573" s="7"/>
      <c r="F573" s="7"/>
      <c r="G573" s="7"/>
      <c r="H573" s="7"/>
    </row>
    <row r="574" spans="2:8" ht="14.3" customHeight="1">
      <c r="B574" s="6"/>
      <c r="C574" s="7"/>
      <c r="D574" s="7"/>
      <c r="E574" s="7"/>
      <c r="F574" s="7"/>
      <c r="G574" s="7"/>
      <c r="H574" s="7"/>
    </row>
    <row r="575" spans="2:8" ht="14.3" customHeight="1">
      <c r="B575" s="6"/>
      <c r="C575" s="7"/>
      <c r="D575" s="7"/>
      <c r="E575" s="7"/>
      <c r="F575" s="7"/>
      <c r="G575" s="7"/>
      <c r="H575" s="7"/>
    </row>
    <row r="576" spans="2:8" ht="14.3" customHeight="1">
      <c r="B576" s="6"/>
      <c r="C576" s="7"/>
      <c r="D576" s="7"/>
      <c r="E576" s="7"/>
      <c r="F576" s="7"/>
      <c r="G576" s="7"/>
      <c r="H576" s="7"/>
    </row>
    <row r="577" spans="2:8" ht="14.3" customHeight="1">
      <c r="B577" s="6"/>
      <c r="C577" s="7"/>
      <c r="D577" s="7"/>
      <c r="E577" s="7"/>
      <c r="F577" s="7"/>
      <c r="G577" s="7"/>
      <c r="H577" s="7"/>
    </row>
    <row r="578" spans="2:8" ht="14.3" customHeight="1">
      <c r="B578" s="6"/>
      <c r="C578" s="7"/>
      <c r="D578" s="7"/>
      <c r="E578" s="7"/>
      <c r="F578" s="7"/>
      <c r="G578" s="7"/>
      <c r="H578" s="7"/>
    </row>
    <row r="579" spans="2:8" ht="14.3" customHeight="1">
      <c r="B579" s="6"/>
      <c r="C579" s="7"/>
      <c r="D579" s="7"/>
      <c r="E579" s="7"/>
      <c r="F579" s="7"/>
      <c r="G579" s="7"/>
      <c r="H579" s="7"/>
    </row>
    <row r="580" spans="2:8" ht="14.3" customHeight="1">
      <c r="B580" s="6"/>
      <c r="C580" s="7"/>
      <c r="D580" s="7"/>
      <c r="E580" s="7"/>
      <c r="F580" s="7"/>
      <c r="G580" s="7"/>
      <c r="H580" s="7"/>
    </row>
    <row r="581" spans="2:8" ht="14.3" customHeight="1">
      <c r="B581" s="6"/>
      <c r="C581" s="7"/>
      <c r="D581" s="7"/>
      <c r="E581" s="7"/>
      <c r="F581" s="7"/>
      <c r="G581" s="7"/>
      <c r="H581" s="7"/>
    </row>
    <row r="582" spans="2:8" ht="14.3" customHeight="1">
      <c r="B582" s="6"/>
      <c r="C582" s="7"/>
      <c r="D582" s="7"/>
      <c r="E582" s="7"/>
      <c r="F582" s="7"/>
      <c r="G582" s="7"/>
      <c r="H582" s="7"/>
    </row>
    <row r="583" spans="2:8" ht="14.3" customHeight="1">
      <c r="B583" s="6"/>
      <c r="C583" s="7"/>
      <c r="D583" s="7"/>
      <c r="E583" s="7"/>
      <c r="F583" s="7"/>
      <c r="G583" s="7"/>
      <c r="H583" s="7"/>
    </row>
    <row r="584" spans="2:8" ht="14.3" customHeight="1">
      <c r="B584" s="6"/>
      <c r="C584" s="7"/>
      <c r="D584" s="7"/>
      <c r="E584" s="7"/>
      <c r="F584" s="7"/>
      <c r="G584" s="7"/>
      <c r="H584" s="7"/>
    </row>
    <row r="585" spans="2:8" ht="14.3" customHeight="1">
      <c r="B585" s="6"/>
      <c r="C585" s="7"/>
      <c r="D585" s="7"/>
      <c r="E585" s="7"/>
      <c r="F585" s="7"/>
      <c r="G585" s="7"/>
      <c r="H585" s="7"/>
    </row>
    <row r="586" spans="2:8" ht="14.3" customHeight="1">
      <c r="B586" s="6"/>
      <c r="C586" s="7"/>
      <c r="D586" s="7"/>
      <c r="E586" s="7"/>
      <c r="F586" s="7"/>
      <c r="G586" s="7"/>
      <c r="H586" s="7"/>
    </row>
    <row r="587" spans="2:8" ht="14.3" customHeight="1">
      <c r="B587" s="6"/>
      <c r="C587" s="7"/>
      <c r="D587" s="7"/>
      <c r="E587" s="7"/>
      <c r="F587" s="7"/>
      <c r="G587" s="7"/>
      <c r="H587" s="7"/>
    </row>
    <row r="588" spans="2:8" ht="14.3" customHeight="1">
      <c r="B588" s="6"/>
      <c r="C588" s="7"/>
      <c r="D588" s="7"/>
      <c r="E588" s="7"/>
      <c r="F588" s="7"/>
      <c r="G588" s="7"/>
      <c r="H588" s="7"/>
    </row>
    <row r="589" spans="2:8" ht="14.3" customHeight="1">
      <c r="B589" s="6"/>
      <c r="C589" s="7"/>
      <c r="D589" s="7"/>
      <c r="E589" s="7"/>
      <c r="F589" s="7"/>
      <c r="G589" s="7"/>
      <c r="H589" s="7"/>
    </row>
    <row r="590" spans="2:8" ht="14.3" customHeight="1">
      <c r="B590" s="6"/>
      <c r="C590" s="7"/>
      <c r="D590" s="7"/>
      <c r="E590" s="7"/>
      <c r="F590" s="7"/>
      <c r="G590" s="7"/>
      <c r="H590" s="7"/>
    </row>
    <row r="591" spans="2:8" ht="14.3" customHeight="1">
      <c r="B591" s="6"/>
      <c r="C591" s="7"/>
      <c r="D591" s="7"/>
      <c r="E591" s="7"/>
      <c r="F591" s="7"/>
      <c r="G591" s="7"/>
      <c r="H591" s="7"/>
    </row>
    <row r="592" spans="2:8" ht="14.3" customHeight="1">
      <c r="B592" s="6"/>
      <c r="C592" s="7"/>
      <c r="D592" s="7"/>
      <c r="E592" s="7"/>
      <c r="F592" s="7"/>
      <c r="G592" s="7"/>
      <c r="H592" s="7"/>
    </row>
    <row r="593" spans="2:8" ht="14.3" customHeight="1">
      <c r="B593" s="6"/>
      <c r="C593" s="7"/>
      <c r="D593" s="7"/>
      <c r="E593" s="7"/>
      <c r="F593" s="7"/>
      <c r="G593" s="7"/>
      <c r="H593" s="7"/>
    </row>
    <row r="594" spans="2:8" ht="14.3" customHeight="1">
      <c r="B594" s="6"/>
      <c r="C594" s="7"/>
      <c r="D594" s="7"/>
      <c r="E594" s="7"/>
      <c r="F594" s="7"/>
      <c r="G594" s="7"/>
      <c r="H594" s="7"/>
    </row>
    <row r="595" spans="2:8" ht="14.3" customHeight="1">
      <c r="B595" s="6"/>
      <c r="C595" s="7"/>
      <c r="D595" s="7"/>
      <c r="E595" s="7"/>
      <c r="F595" s="7"/>
      <c r="G595" s="7"/>
      <c r="H595" s="7"/>
    </row>
    <row r="596" spans="2:8" ht="14.3" customHeight="1">
      <c r="B596" s="6"/>
      <c r="C596" s="7"/>
      <c r="D596" s="7"/>
      <c r="E596" s="7"/>
      <c r="F596" s="7"/>
      <c r="G596" s="7"/>
      <c r="H596" s="7"/>
    </row>
    <row r="597" spans="2:8" ht="14.3" customHeight="1">
      <c r="B597" s="6"/>
      <c r="C597" s="7"/>
      <c r="D597" s="7"/>
      <c r="E597" s="7"/>
      <c r="F597" s="7"/>
      <c r="G597" s="7"/>
      <c r="H597" s="7"/>
    </row>
    <row r="598" spans="2:8" ht="14.3" customHeight="1">
      <c r="B598" s="6"/>
      <c r="C598" s="7"/>
      <c r="D598" s="7"/>
      <c r="E598" s="7"/>
      <c r="F598" s="7"/>
      <c r="G598" s="7"/>
      <c r="H598" s="7"/>
    </row>
    <row r="599" spans="2:8" ht="14.3" customHeight="1">
      <c r="B599" s="6"/>
      <c r="C599" s="7"/>
      <c r="D599" s="7"/>
      <c r="E599" s="7"/>
      <c r="F599" s="7"/>
      <c r="G599" s="7"/>
      <c r="H599" s="7"/>
    </row>
    <row r="600" spans="2:8" ht="14.3" customHeight="1">
      <c r="B600" s="6"/>
      <c r="C600" s="7"/>
      <c r="D600" s="7"/>
      <c r="E600" s="7"/>
      <c r="F600" s="7"/>
      <c r="G600" s="7"/>
      <c r="H600" s="7"/>
    </row>
    <row r="601" spans="2:8" ht="14.3" customHeight="1">
      <c r="B601" s="6"/>
      <c r="C601" s="7"/>
      <c r="D601" s="7"/>
      <c r="E601" s="7"/>
      <c r="F601" s="7"/>
      <c r="G601" s="7"/>
      <c r="H601" s="7"/>
    </row>
    <row r="602" spans="2:8" ht="14.3" customHeight="1">
      <c r="B602" s="6"/>
      <c r="C602" s="7"/>
      <c r="D602" s="7"/>
      <c r="E602" s="7"/>
      <c r="F602" s="7"/>
      <c r="G602" s="7"/>
      <c r="H602" s="7"/>
    </row>
    <row r="603" spans="2:8" ht="14.3" customHeight="1">
      <c r="B603" s="6"/>
      <c r="C603" s="7"/>
      <c r="D603" s="7"/>
      <c r="E603" s="7"/>
      <c r="F603" s="7"/>
      <c r="G603" s="7"/>
      <c r="H603" s="7"/>
    </row>
    <row r="604" spans="2:8" ht="14.3" customHeight="1">
      <c r="B604" s="6"/>
      <c r="C604" s="7"/>
      <c r="D604" s="7"/>
      <c r="E604" s="7"/>
      <c r="F604" s="7"/>
      <c r="G604" s="7"/>
      <c r="H604" s="7"/>
    </row>
    <row r="605" spans="2:8" ht="14.3" customHeight="1">
      <c r="B605" s="6"/>
      <c r="C605" s="7"/>
      <c r="D605" s="7"/>
      <c r="E605" s="7"/>
      <c r="F605" s="7"/>
      <c r="G605" s="7"/>
      <c r="H605" s="7"/>
    </row>
    <row r="606" spans="2:8" ht="14.3" customHeight="1">
      <c r="B606" s="6"/>
      <c r="C606" s="7"/>
      <c r="D606" s="7"/>
      <c r="E606" s="7"/>
      <c r="F606" s="7"/>
      <c r="G606" s="7"/>
      <c r="H606" s="7"/>
    </row>
    <row r="607" spans="2:8" ht="14.3" customHeight="1">
      <c r="B607" s="6"/>
      <c r="C607" s="7"/>
      <c r="D607" s="7"/>
      <c r="E607" s="7"/>
      <c r="F607" s="7"/>
      <c r="G607" s="7"/>
      <c r="H607" s="7"/>
    </row>
    <row r="608" spans="2:8" ht="14.3" customHeight="1">
      <c r="B608" s="6"/>
      <c r="C608" s="7"/>
      <c r="D608" s="7"/>
      <c r="E608" s="7"/>
      <c r="F608" s="7"/>
      <c r="G608" s="7"/>
      <c r="H608" s="7"/>
    </row>
    <row r="609" spans="2:8" ht="14.3" customHeight="1">
      <c r="B609" s="6"/>
      <c r="C609" s="7"/>
      <c r="D609" s="7"/>
      <c r="E609" s="7"/>
      <c r="F609" s="7"/>
      <c r="G609" s="7"/>
      <c r="H609" s="7"/>
    </row>
    <row r="610" spans="2:8" ht="14.3" customHeight="1">
      <c r="B610" s="6"/>
      <c r="C610" s="7"/>
      <c r="D610" s="7"/>
      <c r="E610" s="7"/>
      <c r="F610" s="7"/>
      <c r="G610" s="7"/>
      <c r="H610" s="7"/>
    </row>
    <row r="611" spans="2:8" ht="14.3" customHeight="1">
      <c r="B611" s="6"/>
      <c r="C611" s="7"/>
      <c r="D611" s="7"/>
      <c r="E611" s="7"/>
      <c r="F611" s="7"/>
      <c r="G611" s="7"/>
      <c r="H611" s="7"/>
    </row>
    <row r="612" spans="2:8" ht="14.3" customHeight="1">
      <c r="B612" s="6"/>
      <c r="C612" s="7"/>
      <c r="D612" s="7"/>
      <c r="E612" s="7"/>
      <c r="F612" s="7"/>
      <c r="G612" s="7"/>
      <c r="H612" s="7"/>
    </row>
    <row r="613" spans="2:8" ht="14.3" customHeight="1">
      <c r="B613" s="6"/>
      <c r="C613" s="7"/>
      <c r="D613" s="7"/>
      <c r="E613" s="7"/>
      <c r="F613" s="7"/>
      <c r="G613" s="7"/>
      <c r="H613" s="7"/>
    </row>
    <row r="614" spans="2:8" ht="14.3" customHeight="1">
      <c r="B614" s="6"/>
      <c r="C614" s="7"/>
      <c r="D614" s="7"/>
      <c r="E614" s="7"/>
      <c r="F614" s="7"/>
      <c r="G614" s="7"/>
      <c r="H614" s="7"/>
    </row>
    <row r="615" spans="2:8" ht="14.3" customHeight="1">
      <c r="B615" s="6"/>
      <c r="C615" s="7"/>
      <c r="D615" s="7"/>
      <c r="E615" s="7"/>
      <c r="F615" s="7"/>
      <c r="G615" s="7"/>
      <c r="H615" s="7"/>
    </row>
    <row r="616" spans="2:8" ht="14.3" customHeight="1">
      <c r="B616" s="6"/>
      <c r="C616" s="7"/>
      <c r="D616" s="7"/>
      <c r="E616" s="7"/>
      <c r="F616" s="7"/>
      <c r="G616" s="7"/>
      <c r="H616" s="7"/>
    </row>
    <row r="617" spans="2:8" ht="14.3" customHeight="1">
      <c r="B617" s="6"/>
      <c r="C617" s="7"/>
      <c r="D617" s="7"/>
      <c r="E617" s="7"/>
      <c r="F617" s="7"/>
      <c r="G617" s="7"/>
      <c r="H617" s="7"/>
    </row>
    <row r="618" spans="2:8" ht="14.3" customHeight="1">
      <c r="B618" s="6"/>
      <c r="C618" s="7"/>
      <c r="D618" s="7"/>
      <c r="E618" s="7"/>
      <c r="F618" s="7"/>
      <c r="G618" s="7"/>
      <c r="H618" s="7"/>
    </row>
    <row r="619" spans="2:8" ht="14.3" customHeight="1">
      <c r="B619" s="6"/>
      <c r="C619" s="7"/>
      <c r="D619" s="7"/>
      <c r="E619" s="7"/>
      <c r="F619" s="7"/>
      <c r="G619" s="7"/>
      <c r="H619" s="7"/>
    </row>
    <row r="620" spans="2:8" ht="14.3" customHeight="1">
      <c r="B620" s="6"/>
      <c r="C620" s="7"/>
      <c r="D620" s="7"/>
      <c r="E620" s="7"/>
      <c r="F620" s="7"/>
      <c r="G620" s="7"/>
      <c r="H620" s="7"/>
    </row>
    <row r="621" spans="2:8" ht="14.3" customHeight="1">
      <c r="B621" s="6"/>
      <c r="C621" s="7"/>
      <c r="D621" s="7"/>
      <c r="E621" s="7"/>
      <c r="F621" s="7"/>
      <c r="G621" s="7"/>
      <c r="H621" s="7"/>
    </row>
    <row r="622" spans="2:8" ht="14.3" customHeight="1">
      <c r="B622" s="6"/>
      <c r="C622" s="7"/>
      <c r="D622" s="7"/>
      <c r="E622" s="7"/>
      <c r="F622" s="7"/>
      <c r="G622" s="7"/>
      <c r="H622" s="7"/>
    </row>
    <row r="623" spans="2:8" ht="14.3" customHeight="1">
      <c r="B623" s="6"/>
      <c r="C623" s="7"/>
      <c r="D623" s="7"/>
      <c r="E623" s="7"/>
      <c r="F623" s="7"/>
      <c r="G623" s="7"/>
      <c r="H623" s="7"/>
    </row>
    <row r="624" spans="2:8" ht="14.3" customHeight="1">
      <c r="B624" s="6"/>
      <c r="C624" s="7"/>
      <c r="D624" s="7"/>
      <c r="E624" s="7"/>
      <c r="F624" s="7"/>
      <c r="G624" s="7"/>
      <c r="H624" s="7"/>
    </row>
    <row r="625" spans="2:8" ht="14.3" customHeight="1">
      <c r="B625" s="6"/>
      <c r="C625" s="7"/>
      <c r="D625" s="7"/>
      <c r="E625" s="7"/>
      <c r="F625" s="7"/>
      <c r="G625" s="7"/>
      <c r="H625" s="7"/>
    </row>
    <row r="626" spans="2:8" ht="14.3" customHeight="1">
      <c r="B626" s="6"/>
      <c r="C626" s="7"/>
      <c r="D626" s="7"/>
      <c r="E626" s="7"/>
      <c r="F626" s="7"/>
      <c r="G626" s="7"/>
      <c r="H626" s="7"/>
    </row>
    <row r="627" spans="2:8" ht="14.3" customHeight="1">
      <c r="B627" s="6"/>
      <c r="C627" s="7"/>
      <c r="D627" s="7"/>
      <c r="E627" s="7"/>
      <c r="F627" s="7"/>
      <c r="G627" s="7"/>
      <c r="H627" s="7"/>
    </row>
    <row r="628" spans="2:8" ht="14.3" customHeight="1">
      <c r="B628" s="6"/>
      <c r="C628" s="7"/>
      <c r="D628" s="7"/>
      <c r="E628" s="7"/>
      <c r="F628" s="7"/>
      <c r="G628" s="7"/>
      <c r="H628" s="7"/>
    </row>
    <row r="629" spans="2:8" ht="14.3" customHeight="1">
      <c r="B629" s="6"/>
      <c r="C629" s="7"/>
      <c r="D629" s="7"/>
      <c r="E629" s="7"/>
      <c r="F629" s="7"/>
      <c r="G629" s="7"/>
      <c r="H629" s="7"/>
    </row>
    <row r="630" spans="2:8" ht="14.3" customHeight="1">
      <c r="B630" s="6"/>
      <c r="C630" s="7"/>
      <c r="D630" s="7"/>
      <c r="E630" s="7"/>
      <c r="F630" s="7"/>
      <c r="G630" s="7"/>
      <c r="H630" s="7"/>
    </row>
    <row r="631" spans="2:8" ht="14.3" customHeight="1">
      <c r="B631" s="6"/>
      <c r="C631" s="7"/>
      <c r="D631" s="7"/>
      <c r="E631" s="7"/>
      <c r="F631" s="7"/>
      <c r="G631" s="7"/>
      <c r="H631" s="7"/>
    </row>
    <row r="632" spans="2:8" ht="14.3" customHeight="1">
      <c r="B632" s="6"/>
      <c r="C632" s="7"/>
      <c r="D632" s="7"/>
      <c r="E632" s="7"/>
      <c r="F632" s="7"/>
      <c r="G632" s="7"/>
      <c r="H632" s="7"/>
    </row>
    <row r="633" spans="2:8" ht="14.3" customHeight="1">
      <c r="B633" s="6"/>
      <c r="C633" s="7"/>
      <c r="D633" s="7"/>
      <c r="E633" s="7"/>
      <c r="F633" s="7"/>
      <c r="G633" s="7"/>
      <c r="H633" s="7"/>
    </row>
    <row r="634" spans="2:8" ht="14.3" customHeight="1">
      <c r="B634" s="6"/>
      <c r="C634" s="7"/>
      <c r="D634" s="7"/>
      <c r="E634" s="7"/>
      <c r="F634" s="7"/>
      <c r="G634" s="7"/>
      <c r="H634" s="7"/>
    </row>
    <row r="635" spans="2:8" ht="14.3" customHeight="1">
      <c r="B635" s="6"/>
      <c r="C635" s="7"/>
      <c r="D635" s="7"/>
      <c r="E635" s="7"/>
      <c r="F635" s="7"/>
      <c r="G635" s="7"/>
      <c r="H635" s="7"/>
    </row>
    <row r="636" spans="2:8" ht="14.3" customHeight="1">
      <c r="B636" s="6"/>
      <c r="C636" s="7"/>
      <c r="D636" s="7"/>
      <c r="E636" s="7"/>
      <c r="F636" s="7"/>
      <c r="G636" s="7"/>
      <c r="H636" s="7"/>
    </row>
    <row r="637" spans="2:8" ht="14.3" customHeight="1">
      <c r="B637" s="6"/>
      <c r="C637" s="7"/>
      <c r="D637" s="7"/>
      <c r="E637" s="7"/>
      <c r="F637" s="7"/>
      <c r="G637" s="7"/>
      <c r="H637" s="7"/>
    </row>
    <row r="638" spans="2:8" ht="14.3" customHeight="1">
      <c r="B638" s="6"/>
      <c r="C638" s="7"/>
      <c r="D638" s="7"/>
      <c r="E638" s="7"/>
      <c r="F638" s="7"/>
      <c r="G638" s="7"/>
      <c r="H638" s="7"/>
    </row>
    <row r="639" spans="2:8" ht="14.3" customHeight="1">
      <c r="B639" s="6"/>
      <c r="C639" s="7"/>
      <c r="D639" s="7"/>
      <c r="E639" s="7"/>
      <c r="F639" s="7"/>
      <c r="G639" s="7"/>
      <c r="H639" s="7"/>
    </row>
    <row r="640" spans="2:8" ht="14.3" customHeight="1">
      <c r="B640" s="6"/>
      <c r="C640" s="7"/>
      <c r="D640" s="7"/>
      <c r="E640" s="7"/>
      <c r="F640" s="7"/>
      <c r="G640" s="7"/>
      <c r="H640" s="7"/>
    </row>
    <row r="641" spans="2:8" ht="14.3" customHeight="1">
      <c r="B641" s="6"/>
      <c r="C641" s="7"/>
      <c r="D641" s="7"/>
      <c r="E641" s="7"/>
      <c r="F641" s="7"/>
      <c r="G641" s="7"/>
      <c r="H641" s="7"/>
    </row>
    <row r="642" spans="2:8" ht="14.3" customHeight="1">
      <c r="B642" s="6"/>
      <c r="C642" s="7"/>
      <c r="D642" s="7"/>
      <c r="E642" s="7"/>
      <c r="F642" s="7"/>
      <c r="G642" s="7"/>
      <c r="H642" s="7"/>
    </row>
    <row r="643" spans="2:8" ht="14.3" customHeight="1">
      <c r="B643" s="6"/>
      <c r="C643" s="7"/>
      <c r="D643" s="7"/>
      <c r="E643" s="7"/>
      <c r="F643" s="7"/>
      <c r="G643" s="7"/>
      <c r="H643" s="7"/>
    </row>
    <row r="644" spans="2:8" ht="14.3" customHeight="1">
      <c r="B644" s="6"/>
      <c r="C644" s="7"/>
      <c r="D644" s="7"/>
      <c r="E644" s="7"/>
      <c r="F644" s="7"/>
      <c r="G644" s="7"/>
      <c r="H644" s="7"/>
    </row>
    <row r="645" spans="2:8" ht="14.3" customHeight="1">
      <c r="B645" s="6"/>
      <c r="C645" s="7"/>
      <c r="D645" s="7"/>
      <c r="E645" s="7"/>
      <c r="F645" s="7"/>
      <c r="G645" s="7"/>
      <c r="H645" s="7"/>
    </row>
    <row r="646" spans="2:8" ht="14.3" customHeight="1">
      <c r="B646" s="6"/>
      <c r="C646" s="7"/>
      <c r="D646" s="7"/>
      <c r="E646" s="7"/>
      <c r="F646" s="7"/>
      <c r="G646" s="7"/>
      <c r="H646" s="7"/>
    </row>
    <row r="647" spans="2:8" ht="14.3" customHeight="1">
      <c r="B647" s="6"/>
      <c r="C647" s="7"/>
      <c r="D647" s="7"/>
      <c r="E647" s="7"/>
      <c r="F647" s="7"/>
      <c r="G647" s="7"/>
      <c r="H647" s="7"/>
    </row>
    <row r="648" spans="2:8" ht="14.3" customHeight="1">
      <c r="B648" s="6"/>
      <c r="C648" s="7"/>
      <c r="D648" s="7"/>
      <c r="E648" s="7"/>
      <c r="F648" s="7"/>
      <c r="G648" s="7"/>
      <c r="H648" s="7"/>
    </row>
    <row r="649" spans="2:8" ht="14.3" customHeight="1">
      <c r="B649" s="6"/>
      <c r="C649" s="7"/>
      <c r="D649" s="7"/>
      <c r="E649" s="7"/>
      <c r="F649" s="7"/>
      <c r="G649" s="7"/>
      <c r="H649" s="7"/>
    </row>
    <row r="650" spans="2:8" ht="14.3" customHeight="1">
      <c r="B650" s="6"/>
      <c r="C650" s="7"/>
      <c r="D650" s="7"/>
      <c r="E650" s="7"/>
      <c r="F650" s="7"/>
      <c r="G650" s="7"/>
      <c r="H650" s="7"/>
    </row>
    <row r="651" spans="2:8" ht="14.3" customHeight="1">
      <c r="B651" s="6"/>
      <c r="C651" s="7"/>
      <c r="D651" s="7"/>
      <c r="E651" s="7"/>
      <c r="F651" s="7"/>
      <c r="G651" s="7"/>
      <c r="H651" s="7"/>
    </row>
    <row r="652" spans="2:8" ht="14.3" customHeight="1">
      <c r="B652" s="6"/>
      <c r="C652" s="7"/>
      <c r="D652" s="7"/>
      <c r="E652" s="7"/>
      <c r="F652" s="7"/>
      <c r="G652" s="7"/>
      <c r="H652" s="7"/>
    </row>
    <row r="653" spans="2:8" ht="14.3" customHeight="1">
      <c r="B653" s="6"/>
      <c r="C653" s="7"/>
      <c r="D653" s="7"/>
      <c r="E653" s="7"/>
      <c r="F653" s="7"/>
      <c r="G653" s="7"/>
      <c r="H653" s="7"/>
    </row>
    <row r="654" spans="2:8" ht="14.3" customHeight="1">
      <c r="B654" s="6"/>
      <c r="C654" s="7"/>
      <c r="D654" s="7"/>
      <c r="E654" s="7"/>
      <c r="F654" s="7"/>
      <c r="G654" s="7"/>
      <c r="H654" s="7"/>
    </row>
    <row r="655" spans="2:8" ht="14.3" customHeight="1">
      <c r="B655" s="6"/>
      <c r="C655" s="7"/>
      <c r="D655" s="7"/>
      <c r="E655" s="7"/>
      <c r="F655" s="7"/>
      <c r="G655" s="7"/>
      <c r="H655" s="7"/>
    </row>
    <row r="656" spans="2:8" ht="14.3" customHeight="1">
      <c r="B656" s="6"/>
      <c r="C656" s="7"/>
      <c r="D656" s="7"/>
      <c r="E656" s="7"/>
      <c r="F656" s="7"/>
      <c r="G656" s="7"/>
      <c r="H656" s="7"/>
    </row>
    <row r="657" spans="2:8" ht="14.3" customHeight="1">
      <c r="B657" s="6"/>
      <c r="C657" s="7"/>
      <c r="D657" s="7"/>
      <c r="E657" s="7"/>
      <c r="F657" s="7"/>
      <c r="G657" s="7"/>
      <c r="H657" s="7"/>
    </row>
    <row r="658" spans="2:8" ht="14.3" customHeight="1">
      <c r="B658" s="6"/>
      <c r="C658" s="7"/>
      <c r="D658" s="7"/>
      <c r="E658" s="7"/>
      <c r="F658" s="7"/>
      <c r="G658" s="7"/>
      <c r="H658" s="7"/>
    </row>
    <row r="659" spans="2:8" ht="14.3" customHeight="1">
      <c r="B659" s="6"/>
      <c r="C659" s="7"/>
      <c r="D659" s="7"/>
      <c r="E659" s="7"/>
      <c r="F659" s="7"/>
      <c r="G659" s="7"/>
      <c r="H659" s="7"/>
    </row>
    <row r="660" spans="2:8" ht="14.3" customHeight="1">
      <c r="B660" s="6"/>
      <c r="C660" s="7"/>
      <c r="D660" s="7"/>
      <c r="E660" s="7"/>
      <c r="F660" s="7"/>
      <c r="G660" s="7"/>
      <c r="H660" s="7"/>
    </row>
    <row r="661" spans="2:8" ht="14.3" customHeight="1">
      <c r="B661" s="6"/>
      <c r="C661" s="7"/>
      <c r="D661" s="7"/>
      <c r="E661" s="7"/>
      <c r="F661" s="7"/>
      <c r="G661" s="7"/>
      <c r="H661" s="7"/>
    </row>
    <row r="662" spans="2:8" ht="14.3" customHeight="1">
      <c r="B662" s="6"/>
      <c r="C662" s="7"/>
      <c r="D662" s="7"/>
      <c r="E662" s="7"/>
      <c r="F662" s="7"/>
      <c r="G662" s="7"/>
      <c r="H662" s="7"/>
    </row>
    <row r="663" spans="2:8" ht="14.3" customHeight="1">
      <c r="B663" s="6"/>
      <c r="C663" s="7"/>
      <c r="D663" s="7"/>
      <c r="E663" s="7"/>
      <c r="F663" s="7"/>
      <c r="G663" s="7"/>
      <c r="H663" s="7"/>
    </row>
    <row r="664" spans="2:8" ht="14.3" customHeight="1">
      <c r="B664" s="6"/>
      <c r="C664" s="7"/>
      <c r="D664" s="7"/>
      <c r="E664" s="7"/>
      <c r="F664" s="7"/>
      <c r="G664" s="7"/>
      <c r="H664" s="7"/>
    </row>
    <row r="665" spans="2:8" ht="14.3" customHeight="1">
      <c r="B665" s="6"/>
      <c r="C665" s="7"/>
      <c r="D665" s="7"/>
      <c r="E665" s="7"/>
      <c r="F665" s="7"/>
      <c r="G665" s="7"/>
      <c r="H665" s="7"/>
    </row>
    <row r="666" spans="2:8" ht="14.3" customHeight="1">
      <c r="B666" s="6"/>
      <c r="C666" s="7"/>
      <c r="D666" s="7"/>
      <c r="E666" s="7"/>
      <c r="F666" s="7"/>
      <c r="G666" s="7"/>
      <c r="H666" s="7"/>
    </row>
    <row r="667" spans="2:8" ht="14.3" customHeight="1">
      <c r="B667" s="6"/>
      <c r="C667" s="7"/>
      <c r="D667" s="7"/>
      <c r="E667" s="7"/>
      <c r="F667" s="7"/>
      <c r="G667" s="7"/>
      <c r="H667" s="7"/>
    </row>
    <row r="668" spans="2:8" ht="14.3" customHeight="1">
      <c r="B668" s="6"/>
      <c r="C668" s="7"/>
      <c r="D668" s="7"/>
      <c r="E668" s="7"/>
      <c r="F668" s="7"/>
      <c r="G668" s="7"/>
      <c r="H668" s="7"/>
    </row>
    <row r="669" spans="2:8" ht="14.3" customHeight="1">
      <c r="B669" s="6"/>
      <c r="C669" s="7"/>
      <c r="D669" s="7"/>
      <c r="E669" s="7"/>
      <c r="F669" s="7"/>
      <c r="G669" s="7"/>
      <c r="H669" s="7"/>
    </row>
    <row r="670" spans="2:8" ht="14.3" customHeight="1">
      <c r="B670" s="6"/>
      <c r="C670" s="7"/>
      <c r="D670" s="7"/>
      <c r="E670" s="7"/>
      <c r="F670" s="7"/>
      <c r="G670" s="7"/>
      <c r="H670" s="7"/>
    </row>
    <row r="671" spans="2:8" ht="14.3" customHeight="1">
      <c r="B671" s="6"/>
      <c r="C671" s="7"/>
      <c r="D671" s="7"/>
      <c r="E671" s="7"/>
      <c r="F671" s="7"/>
      <c r="G671" s="7"/>
      <c r="H671" s="7"/>
    </row>
    <row r="672" spans="2:8" ht="14.3" customHeight="1">
      <c r="B672" s="6"/>
      <c r="C672" s="7"/>
      <c r="D672" s="7"/>
      <c r="E672" s="7"/>
      <c r="F672" s="7"/>
      <c r="G672" s="7"/>
      <c r="H672" s="7"/>
    </row>
    <row r="673" spans="2:8" ht="14.3" customHeight="1">
      <c r="B673" s="6"/>
      <c r="C673" s="7"/>
      <c r="D673" s="7"/>
      <c r="E673" s="7"/>
      <c r="F673" s="7"/>
      <c r="G673" s="7"/>
      <c r="H673" s="7"/>
    </row>
    <row r="674" spans="2:8" ht="14.3" customHeight="1">
      <c r="B674" s="6"/>
      <c r="C674" s="7"/>
      <c r="D674" s="7"/>
      <c r="E674" s="7"/>
      <c r="F674" s="7"/>
      <c r="G674" s="7"/>
      <c r="H674" s="7"/>
    </row>
    <row r="675" spans="2:8" ht="14.3" customHeight="1">
      <c r="B675" s="6"/>
      <c r="C675" s="7"/>
      <c r="D675" s="7"/>
      <c r="E675" s="7"/>
      <c r="F675" s="7"/>
      <c r="G675" s="7"/>
      <c r="H675" s="7"/>
    </row>
    <row r="676" spans="2:8" ht="14.3" customHeight="1">
      <c r="B676" s="6"/>
      <c r="C676" s="7"/>
      <c r="D676" s="7"/>
      <c r="E676" s="7"/>
      <c r="F676" s="7"/>
      <c r="G676" s="7"/>
      <c r="H676" s="7"/>
    </row>
    <row r="677" spans="2:8" ht="14.3" customHeight="1">
      <c r="B677" s="6"/>
      <c r="C677" s="7"/>
      <c r="D677" s="7"/>
      <c r="E677" s="7"/>
      <c r="F677" s="7"/>
      <c r="G677" s="7"/>
      <c r="H677" s="7"/>
    </row>
    <row r="678" spans="2:8" ht="14.3" customHeight="1">
      <c r="B678" s="6"/>
      <c r="C678" s="7"/>
      <c r="D678" s="7"/>
      <c r="E678" s="7"/>
      <c r="F678" s="7"/>
      <c r="G678" s="7"/>
      <c r="H678" s="7"/>
    </row>
    <row r="679" spans="2:8" ht="14.3" customHeight="1">
      <c r="B679" s="6"/>
      <c r="C679" s="7"/>
      <c r="D679" s="7"/>
      <c r="E679" s="7"/>
      <c r="F679" s="7"/>
      <c r="G679" s="7"/>
      <c r="H679" s="7"/>
    </row>
    <row r="680" spans="2:8" ht="14.3" customHeight="1">
      <c r="B680" s="6"/>
      <c r="C680" s="7"/>
      <c r="D680" s="7"/>
      <c r="E680" s="7"/>
      <c r="F680" s="7"/>
      <c r="G680" s="7"/>
      <c r="H680" s="7"/>
    </row>
    <row r="681" spans="2:8" ht="14.3" customHeight="1">
      <c r="B681" s="6"/>
      <c r="C681" s="7"/>
      <c r="D681" s="7"/>
      <c r="E681" s="7"/>
      <c r="F681" s="7"/>
      <c r="G681" s="7"/>
      <c r="H681" s="7"/>
    </row>
    <row r="682" spans="2:8" ht="14.3" customHeight="1">
      <c r="B682" s="6"/>
      <c r="C682" s="7"/>
      <c r="D682" s="7"/>
      <c r="E682" s="7"/>
      <c r="F682" s="7"/>
      <c r="G682" s="7"/>
      <c r="H682" s="7"/>
    </row>
    <row r="683" spans="2:8" ht="14.3" customHeight="1">
      <c r="B683" s="6"/>
      <c r="C683" s="7"/>
      <c r="D683" s="7"/>
      <c r="E683" s="7"/>
      <c r="F683" s="7"/>
      <c r="G683" s="7"/>
      <c r="H683" s="7"/>
    </row>
    <row r="684" spans="2:8" ht="14.3" customHeight="1">
      <c r="B684" s="6"/>
      <c r="C684" s="7"/>
      <c r="D684" s="7"/>
      <c r="E684" s="7"/>
      <c r="F684" s="7"/>
      <c r="G684" s="7"/>
      <c r="H684" s="7"/>
    </row>
    <row r="685" spans="2:8" ht="14.3" customHeight="1">
      <c r="B685" s="6"/>
      <c r="C685" s="7"/>
      <c r="D685" s="7"/>
      <c r="E685" s="7"/>
      <c r="F685" s="7"/>
      <c r="G685" s="7"/>
      <c r="H685" s="7"/>
    </row>
    <row r="686" spans="2:8" ht="14.3" customHeight="1">
      <c r="B686" s="6"/>
      <c r="C686" s="7"/>
      <c r="D686" s="7"/>
      <c r="E686" s="7"/>
      <c r="F686" s="7"/>
      <c r="G686" s="7"/>
      <c r="H686" s="7"/>
    </row>
    <row r="687" spans="2:8" ht="14.3" customHeight="1">
      <c r="B687" s="6"/>
      <c r="C687" s="7"/>
      <c r="D687" s="7"/>
      <c r="E687" s="7"/>
      <c r="F687" s="7"/>
      <c r="G687" s="7"/>
      <c r="H687" s="7"/>
    </row>
    <row r="688" spans="2:8" ht="14.3" customHeight="1">
      <c r="B688" s="6"/>
      <c r="C688" s="7"/>
      <c r="D688" s="7"/>
      <c r="E688" s="7"/>
      <c r="F688" s="7"/>
      <c r="G688" s="7"/>
      <c r="H688" s="7"/>
    </row>
    <row r="689" spans="2:8" ht="14.3" customHeight="1">
      <c r="B689" s="6"/>
      <c r="C689" s="7"/>
      <c r="D689" s="7"/>
      <c r="E689" s="7"/>
      <c r="F689" s="7"/>
      <c r="G689" s="7"/>
      <c r="H689" s="7"/>
    </row>
    <row r="690" spans="2:8" ht="14.3" customHeight="1">
      <c r="B690" s="6"/>
      <c r="C690" s="7"/>
      <c r="D690" s="7"/>
      <c r="E690" s="7"/>
      <c r="F690" s="7"/>
      <c r="G690" s="7"/>
      <c r="H690" s="7"/>
    </row>
    <row r="691" spans="2:8" ht="14.3" customHeight="1">
      <c r="B691" s="6"/>
      <c r="C691" s="7"/>
      <c r="D691" s="7"/>
      <c r="E691" s="7"/>
      <c r="F691" s="7"/>
      <c r="G691" s="7"/>
      <c r="H691" s="7"/>
    </row>
    <row r="692" spans="2:8" ht="14.3" customHeight="1">
      <c r="B692" s="6"/>
      <c r="C692" s="7"/>
      <c r="D692" s="7"/>
      <c r="E692" s="7"/>
      <c r="F692" s="7"/>
      <c r="G692" s="7"/>
      <c r="H692" s="7"/>
    </row>
    <row r="693" spans="2:8" ht="14.3" customHeight="1">
      <c r="B693" s="6"/>
      <c r="C693" s="7"/>
      <c r="D693" s="7"/>
      <c r="E693" s="7"/>
      <c r="F693" s="7"/>
      <c r="G693" s="7"/>
      <c r="H693" s="7"/>
    </row>
    <row r="694" spans="2:8" ht="14.3" customHeight="1">
      <c r="B694" s="6"/>
      <c r="C694" s="7"/>
      <c r="D694" s="7"/>
      <c r="E694" s="7"/>
      <c r="F694" s="7"/>
      <c r="G694" s="7"/>
      <c r="H694" s="7"/>
    </row>
    <row r="695" spans="2:8" ht="14.3" customHeight="1">
      <c r="B695" s="6"/>
      <c r="C695" s="7"/>
      <c r="D695" s="7"/>
      <c r="E695" s="7"/>
      <c r="F695" s="7"/>
      <c r="G695" s="7"/>
      <c r="H695" s="7"/>
    </row>
    <row r="696" spans="2:8" ht="14.3" customHeight="1">
      <c r="B696" s="6"/>
      <c r="C696" s="7"/>
      <c r="D696" s="7"/>
      <c r="E696" s="7"/>
      <c r="F696" s="7"/>
      <c r="G696" s="7"/>
      <c r="H696" s="7"/>
    </row>
    <row r="697" spans="2:8" ht="14.3" customHeight="1">
      <c r="B697" s="6"/>
      <c r="C697" s="7"/>
      <c r="D697" s="7"/>
      <c r="E697" s="7"/>
      <c r="F697" s="7"/>
      <c r="G697" s="7"/>
      <c r="H697" s="7"/>
    </row>
    <row r="698" spans="2:8" ht="14.3" customHeight="1">
      <c r="B698" s="6"/>
      <c r="C698" s="7"/>
      <c r="D698" s="7"/>
      <c r="E698" s="7"/>
      <c r="F698" s="7"/>
      <c r="G698" s="7"/>
      <c r="H698" s="7"/>
    </row>
    <row r="699" spans="2:8" ht="14.3" customHeight="1">
      <c r="B699" s="6"/>
      <c r="C699" s="7"/>
      <c r="D699" s="7"/>
      <c r="E699" s="7"/>
      <c r="F699" s="7"/>
      <c r="G699" s="7"/>
      <c r="H699" s="7"/>
    </row>
    <row r="700" spans="2:8" ht="14.3" customHeight="1">
      <c r="B700" s="6"/>
      <c r="C700" s="7"/>
      <c r="D700" s="7"/>
      <c r="E700" s="7"/>
      <c r="F700" s="7"/>
      <c r="G700" s="7"/>
      <c r="H700" s="7"/>
    </row>
    <row r="701" spans="2:8" ht="14.3" customHeight="1">
      <c r="B701" s="6"/>
      <c r="C701" s="7"/>
      <c r="D701" s="7"/>
      <c r="E701" s="7"/>
      <c r="F701" s="7"/>
      <c r="G701" s="7"/>
      <c r="H701" s="7"/>
    </row>
    <row r="702" spans="2:8" ht="14.3" customHeight="1">
      <c r="B702" s="6"/>
      <c r="C702" s="7"/>
      <c r="D702" s="7"/>
      <c r="E702" s="7"/>
      <c r="F702" s="7"/>
      <c r="G702" s="7"/>
      <c r="H702" s="7"/>
    </row>
    <row r="703" spans="2:8" ht="14.3" customHeight="1">
      <c r="B703" s="6"/>
      <c r="C703" s="7"/>
      <c r="D703" s="7"/>
      <c r="E703" s="7"/>
      <c r="F703" s="7"/>
      <c r="G703" s="7"/>
      <c r="H703" s="7"/>
    </row>
    <row r="704" spans="2:8" ht="14.3" customHeight="1"/>
    <row r="705" ht="14.3" customHeight="1"/>
    <row r="706" ht="14.3" customHeight="1"/>
    <row r="707" ht="14.3" customHeight="1"/>
    <row r="708" ht="14.3" customHeight="1"/>
    <row r="709" ht="14.3" customHeight="1"/>
    <row r="710" ht="14.3" customHeight="1"/>
    <row r="711" ht="14.3" customHeight="1"/>
    <row r="712" ht="14.3" customHeight="1"/>
    <row r="713" ht="14.3" customHeight="1"/>
    <row r="714" ht="14.3" customHeight="1"/>
    <row r="715" ht="14.3" customHeight="1"/>
    <row r="716" ht="14.3" customHeight="1"/>
    <row r="717" ht="14.3" customHeight="1"/>
    <row r="718" ht="14.3" customHeight="1"/>
    <row r="719" ht="14.3" customHeight="1"/>
    <row r="720" ht="14.3" customHeight="1"/>
    <row r="721" ht="14.3" customHeight="1"/>
    <row r="722" ht="14.3" customHeight="1"/>
    <row r="723" ht="14.3" customHeight="1"/>
    <row r="724" ht="14.3" customHeight="1"/>
    <row r="725" ht="14.3" customHeight="1"/>
    <row r="726" ht="14.3" customHeight="1"/>
    <row r="727" ht="14.3" customHeight="1"/>
    <row r="728" ht="14.3" customHeight="1"/>
    <row r="729" ht="14.3" customHeight="1"/>
    <row r="730" ht="14.3" customHeight="1"/>
    <row r="731" ht="14.3" customHeight="1"/>
    <row r="732" ht="14.3" customHeight="1"/>
    <row r="733" ht="14.3" customHeight="1"/>
    <row r="734" ht="14.3" customHeight="1"/>
    <row r="735" ht="14.3" customHeight="1"/>
    <row r="736" ht="14.3" customHeight="1"/>
    <row r="737" ht="14.3" customHeight="1"/>
    <row r="738" ht="14.3" customHeight="1"/>
    <row r="739" ht="14.3" customHeight="1"/>
    <row r="740" ht="14.3" customHeight="1"/>
    <row r="741" ht="14.3" customHeight="1"/>
    <row r="742" ht="14.3" customHeight="1"/>
    <row r="743" ht="14.3" customHeight="1"/>
    <row r="744" ht="14.3" customHeight="1"/>
    <row r="745" ht="14.3" customHeight="1"/>
    <row r="746" ht="14.3" customHeight="1"/>
    <row r="747" ht="14.3" customHeight="1"/>
    <row r="748" ht="14.3" customHeight="1"/>
    <row r="749" ht="14.3" customHeight="1"/>
    <row r="750" ht="14.3" customHeight="1"/>
    <row r="751" ht="14.3" customHeight="1"/>
    <row r="752" ht="14.3" customHeight="1"/>
    <row r="753" ht="14.3" customHeight="1"/>
    <row r="754" ht="14.3" customHeight="1"/>
    <row r="755" ht="14.3" customHeight="1"/>
    <row r="756" ht="14.3" customHeight="1"/>
    <row r="757" ht="14.3" customHeight="1"/>
    <row r="758" ht="14.3" customHeight="1"/>
    <row r="759" ht="14.3" customHeight="1"/>
    <row r="760" ht="14.3" customHeight="1"/>
    <row r="761" ht="14.3" customHeight="1"/>
    <row r="762" ht="14.3" customHeight="1"/>
    <row r="763" ht="14.3" customHeight="1"/>
    <row r="764" ht="14.3" customHeight="1"/>
    <row r="765" ht="14.3" customHeight="1"/>
    <row r="766" ht="14.3" customHeight="1"/>
    <row r="767" ht="14.3" customHeight="1"/>
    <row r="768" ht="14.3" customHeight="1"/>
    <row r="769" ht="14.3" customHeight="1"/>
    <row r="770" ht="14.3" customHeight="1"/>
    <row r="771" ht="14.3" customHeight="1"/>
    <row r="772" ht="14.3" customHeight="1"/>
    <row r="773" ht="14.3" customHeight="1"/>
    <row r="774" ht="14.3" customHeight="1"/>
    <row r="775" ht="14.3" customHeight="1"/>
    <row r="776" ht="14.3" customHeight="1"/>
    <row r="777" ht="14.3" customHeight="1"/>
    <row r="778" ht="14.3" customHeight="1"/>
    <row r="779" ht="14.3" customHeight="1"/>
    <row r="780" ht="14.3" customHeight="1"/>
    <row r="781" ht="14.3" customHeight="1"/>
    <row r="782" ht="14.3" customHeight="1"/>
    <row r="783" ht="14.3" customHeight="1"/>
    <row r="784" ht="14.3" customHeight="1"/>
    <row r="785" ht="14.3" customHeight="1"/>
    <row r="786" ht="14.3" customHeight="1"/>
    <row r="787" ht="14.3" customHeight="1"/>
    <row r="788" ht="14.3" customHeight="1"/>
    <row r="789" ht="14.3" customHeight="1"/>
    <row r="790" ht="14.3" customHeight="1"/>
    <row r="791" ht="14.3" customHeight="1"/>
    <row r="792" ht="14.3" customHeight="1"/>
    <row r="793" ht="14.3" customHeight="1"/>
    <row r="794" ht="14.3" customHeight="1"/>
    <row r="795" ht="14.3" customHeight="1"/>
    <row r="796" ht="14.3" customHeight="1"/>
    <row r="797" ht="14.3" customHeight="1"/>
    <row r="798" ht="14.3" customHeight="1"/>
    <row r="799" ht="14.3" customHeight="1"/>
    <row r="800" ht="14.3" customHeight="1"/>
    <row r="801" ht="14.3" customHeight="1"/>
    <row r="802" ht="14.3" customHeight="1"/>
    <row r="803" ht="14.3" customHeight="1"/>
    <row r="804" ht="14.3" customHeight="1"/>
    <row r="805" ht="14.3" customHeight="1"/>
    <row r="806" ht="14.3" customHeight="1"/>
    <row r="807" ht="14.3" customHeight="1"/>
    <row r="808" ht="14.3" customHeight="1"/>
    <row r="809" ht="14.3" customHeight="1"/>
    <row r="810" ht="14.3" customHeight="1"/>
    <row r="811" ht="14.3" customHeight="1"/>
    <row r="812" ht="14.3" customHeight="1"/>
    <row r="813" ht="14.3" customHeight="1"/>
    <row r="814" ht="14.3" customHeight="1"/>
    <row r="815" ht="14.3" customHeight="1"/>
    <row r="816" ht="14.3" customHeight="1"/>
    <row r="817" ht="14.3" customHeight="1"/>
    <row r="818" ht="14.3" customHeight="1"/>
    <row r="819" ht="14.3" customHeight="1"/>
    <row r="820" ht="14.3" customHeight="1"/>
    <row r="821" ht="14.3" customHeight="1"/>
    <row r="822" ht="14.3" customHeight="1"/>
    <row r="823" ht="14.3" customHeight="1"/>
    <row r="824" ht="14.3" customHeight="1"/>
    <row r="825" ht="14.3" customHeight="1"/>
    <row r="826" ht="14.3" customHeight="1"/>
    <row r="827" ht="14.3" customHeight="1"/>
    <row r="828" ht="14.3" customHeight="1"/>
    <row r="829" ht="14.3" customHeight="1"/>
    <row r="830" ht="14.3" customHeight="1"/>
    <row r="831" ht="14.3" customHeight="1"/>
    <row r="832" ht="14.3" customHeight="1"/>
    <row r="833" ht="14.3" customHeight="1"/>
    <row r="834" ht="14.3" customHeight="1"/>
    <row r="835" ht="14.3" customHeight="1"/>
    <row r="836" ht="14.3" customHeight="1"/>
    <row r="837" ht="14.3" customHeight="1"/>
    <row r="838" ht="14.3" customHeight="1"/>
    <row r="839" ht="14.3" customHeight="1"/>
    <row r="840" ht="14.3" customHeight="1"/>
    <row r="841" ht="14.3" customHeight="1"/>
    <row r="842" ht="14.3" customHeight="1"/>
    <row r="843" ht="14.3" customHeight="1"/>
    <row r="844" ht="14.3" customHeight="1"/>
    <row r="845" ht="14.3" customHeight="1"/>
    <row r="846" ht="14.3" customHeight="1"/>
    <row r="847" ht="14.3" customHeight="1"/>
    <row r="848" ht="14.3" customHeight="1"/>
    <row r="849" ht="14.3" customHeight="1"/>
    <row r="850" ht="14.3" customHeight="1"/>
    <row r="851" ht="14.3" customHeight="1"/>
    <row r="852" ht="14.3" customHeight="1"/>
    <row r="853" ht="14.3" customHeight="1"/>
    <row r="854" ht="14.3" customHeight="1"/>
    <row r="855" ht="14.3" customHeight="1"/>
    <row r="856" ht="14.3" customHeight="1"/>
    <row r="857" ht="14.3" customHeight="1"/>
    <row r="858" ht="14.3" customHeight="1"/>
    <row r="859" ht="14.3" customHeight="1"/>
    <row r="860" ht="14.3" customHeight="1"/>
    <row r="861" ht="14.3" customHeight="1"/>
    <row r="862" ht="14.3" customHeight="1"/>
    <row r="863" ht="14.3" customHeight="1"/>
    <row r="864" ht="14.3" customHeight="1"/>
    <row r="865" ht="14.3" customHeight="1"/>
    <row r="866" ht="14.3" customHeight="1"/>
    <row r="867" ht="14.3" customHeight="1"/>
    <row r="868" ht="14.3" customHeight="1"/>
    <row r="869" ht="14.3" customHeight="1"/>
    <row r="870" ht="14.3" customHeight="1"/>
    <row r="871" ht="14.3" customHeight="1"/>
    <row r="872" ht="14.3" customHeight="1"/>
    <row r="873" ht="14.3" customHeight="1"/>
    <row r="874" ht="14.3" customHeight="1"/>
    <row r="875" ht="14.3" customHeight="1"/>
    <row r="876" ht="14.3" customHeight="1"/>
    <row r="877" ht="14.3" customHeight="1"/>
    <row r="878" ht="14.3" customHeight="1"/>
    <row r="879" ht="14.3" customHeight="1"/>
    <row r="880" ht="14.3" customHeight="1"/>
    <row r="881" ht="14.3" customHeight="1"/>
    <row r="882" ht="14.3" customHeight="1"/>
    <row r="883" ht="14.3" customHeight="1"/>
    <row r="884" ht="14.3" customHeight="1"/>
    <row r="885" ht="14.3" customHeight="1"/>
    <row r="886" ht="14.3" customHeight="1"/>
    <row r="887" ht="14.3" customHeight="1"/>
    <row r="888" ht="14.3" customHeight="1"/>
    <row r="889" ht="14.3" customHeight="1"/>
    <row r="890" ht="14.3" customHeight="1"/>
    <row r="891" ht="14.3" customHeight="1"/>
    <row r="892" ht="14.3" customHeight="1"/>
    <row r="893" ht="14.3" customHeight="1"/>
    <row r="894" ht="14.3" customHeight="1"/>
    <row r="895" ht="14.3" customHeight="1"/>
    <row r="896" ht="14.3" customHeight="1"/>
    <row r="897" ht="14.3" customHeight="1"/>
    <row r="898" ht="14.3" customHeight="1"/>
    <row r="899" ht="14.3" customHeight="1"/>
    <row r="900" ht="14.3" customHeight="1"/>
    <row r="901" ht="14.3" customHeight="1"/>
    <row r="902" ht="14.3" customHeight="1"/>
    <row r="903" ht="14.3" customHeight="1"/>
    <row r="904" ht="14.3" customHeight="1"/>
    <row r="905" ht="14.3" customHeight="1"/>
    <row r="906" ht="14.3" customHeight="1"/>
    <row r="907" ht="14.3" customHeight="1"/>
    <row r="908" ht="14.3" customHeight="1"/>
    <row r="909" ht="14.3" customHeight="1"/>
    <row r="910" ht="14.3" customHeight="1"/>
    <row r="911" ht="14.3" customHeight="1"/>
    <row r="912" ht="14.3" customHeight="1"/>
    <row r="913" ht="14.3" customHeight="1"/>
    <row r="914" ht="14.3" customHeight="1"/>
    <row r="915" ht="14.3" customHeight="1"/>
    <row r="916" ht="14.3" customHeight="1"/>
    <row r="917" ht="14.3" customHeight="1"/>
    <row r="918" ht="14.3" customHeight="1"/>
    <row r="919" ht="14.3" customHeight="1"/>
    <row r="920" ht="14.3" customHeight="1"/>
    <row r="921" ht="14.3" customHeight="1"/>
    <row r="922" ht="14.3" customHeight="1"/>
    <row r="923" ht="14.3" customHeight="1"/>
    <row r="924" ht="14.3" customHeight="1"/>
    <row r="925" ht="14.3" customHeight="1"/>
    <row r="926" ht="14.3" customHeight="1"/>
    <row r="927" ht="14.3" customHeight="1"/>
    <row r="928" ht="14.3" customHeight="1"/>
    <row r="929" ht="14.3" customHeight="1"/>
    <row r="930" ht="14.3" customHeight="1"/>
    <row r="931" ht="14.3" customHeight="1"/>
    <row r="932" ht="14.3" customHeight="1"/>
    <row r="933" ht="14.3" customHeight="1"/>
    <row r="934" ht="14.3" customHeight="1"/>
    <row r="935" ht="14.3" customHeight="1"/>
    <row r="936" ht="14.3" customHeight="1"/>
    <row r="937" ht="14.3" customHeight="1"/>
    <row r="938" ht="14.3" customHeight="1"/>
    <row r="939" ht="14.3" customHeight="1"/>
    <row r="940" ht="14.3" customHeight="1"/>
    <row r="941" ht="14.3" customHeight="1"/>
    <row r="942" ht="14.3" customHeight="1"/>
    <row r="943" ht="14.3" customHeight="1"/>
    <row r="944" ht="14.3" customHeight="1"/>
    <row r="945" ht="14.3" customHeight="1"/>
    <row r="946" ht="14.3" customHeight="1"/>
    <row r="947" ht="14.3" customHeight="1"/>
    <row r="948" ht="14.3" customHeight="1"/>
    <row r="949" ht="14.3" customHeight="1"/>
    <row r="950" ht="14.3" customHeight="1"/>
    <row r="951" ht="14.3" customHeight="1"/>
    <row r="952" ht="14.3" customHeight="1"/>
    <row r="953" ht="14.3" customHeight="1"/>
    <row r="954" ht="14.3" customHeight="1"/>
    <row r="955" ht="14.3" customHeight="1"/>
    <row r="956" ht="14.3" customHeight="1"/>
    <row r="957" ht="14.3" customHeight="1"/>
    <row r="958" ht="14.3" customHeight="1"/>
    <row r="959" ht="14.3" customHeight="1"/>
    <row r="960" ht="14.3" customHeight="1"/>
    <row r="961" ht="14.3" customHeight="1"/>
    <row r="962" ht="14.3" customHeight="1"/>
    <row r="963" ht="14.3" customHeight="1"/>
    <row r="964" ht="14.3" customHeight="1"/>
    <row r="965" ht="14.3" customHeight="1"/>
    <row r="966" ht="14.3" customHeight="1"/>
    <row r="967" ht="14.3" customHeight="1"/>
    <row r="968" ht="14.3" customHeight="1"/>
    <row r="969" ht="14.3" customHeight="1"/>
    <row r="970" ht="14.3" customHeight="1"/>
    <row r="971" ht="14.3" customHeight="1"/>
    <row r="972" ht="14.3" customHeight="1"/>
    <row r="973" ht="14.3" customHeight="1"/>
    <row r="974" ht="14.3" customHeight="1"/>
    <row r="975" ht="14.3" customHeight="1"/>
    <row r="976" ht="14.3" customHeight="1"/>
    <row r="977" ht="14.3" customHeight="1"/>
    <row r="978" ht="14.3" customHeight="1"/>
    <row r="979" ht="14.3" customHeight="1"/>
    <row r="980" ht="14.3" customHeight="1"/>
    <row r="981" ht="14.3" customHeight="1"/>
    <row r="982" ht="14.3" customHeight="1"/>
    <row r="983" ht="14.3" customHeight="1"/>
    <row r="984" ht="14.3" customHeight="1"/>
    <row r="985" ht="14.3" customHeight="1"/>
    <row r="986" ht="14.3" customHeight="1"/>
    <row r="987" ht="14.3" customHeight="1"/>
    <row r="988" ht="14.3" customHeight="1"/>
    <row r="989" ht="14.3" customHeight="1"/>
    <row r="990" ht="14.3" customHeight="1"/>
    <row r="991" ht="14.3" customHeight="1"/>
    <row r="992" ht="14.3" customHeight="1"/>
    <row r="993" ht="14.3" customHeight="1"/>
    <row r="994" ht="14.3" customHeight="1"/>
    <row r="995" ht="14.3" customHeight="1"/>
    <row r="996" ht="14.3" customHeight="1"/>
    <row r="997" ht="14.3" customHeight="1"/>
    <row r="998" ht="14.3" customHeight="1"/>
    <row r="999" ht="14.3" customHeight="1"/>
    <row r="1000" ht="14.3" customHeight="1"/>
  </sheetData>
  <mergeCells count="2">
    <mergeCell ref="L3:M3"/>
    <mergeCell ref="O3:P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Vicky kumar</cp:lastModifiedBy>
  <dcterms:created xsi:type="dcterms:W3CDTF">2015-06-05T18:17:20Z</dcterms:created>
  <dcterms:modified xsi:type="dcterms:W3CDTF">2025-05-31T08:25:43Z</dcterms:modified>
</cp:coreProperties>
</file>